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 e Resumo" sheetId="1" state="visible" r:id="rId1"/>
    <sheet xmlns:r="http://schemas.openxmlformats.org/officeDocument/2006/relationships" name="Exceçõe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;[Red]-R$ #,##0.00;&quot;R$ &quot;-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pivotButton="0" quotePrefix="0" xfId="0"/>
    <xf numFmtId="3" fontId="6" fillId="3" borderId="1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left"/>
    </xf>
    <xf numFmtId="164" fontId="6" fillId="3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5" fontId="6" fillId="3" borderId="1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  <xf numFmtId="165" fontId="6" fillId="4" borderId="2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5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1" customWidth="1" min="2" max="2"/>
    <col width="44" customWidth="1" min="3" max="3"/>
    <col width="48" customWidth="1" min="4" max="4"/>
    <col width="36" customWidth="1" min="5" max="5"/>
    <col width="86" customWidth="1" min="6" max="6"/>
  </cols>
  <sheetData>
    <row r="1"/>
    <row r="2">
      <c r="B2" s="1" t="inlineStr">
        <is>
          <t>KLABIN S.A. — AUDITORIA INDEPENDENTE (EXERCÍCIO 2025)</t>
        </is>
      </c>
    </row>
    <row r="3">
      <c r="B3" s="2" t="inlineStr">
        <is>
          <t>Papel de Trabalho: PT 530 — Amostragem em Auditoria (Ativo Imobilizado)</t>
        </is>
      </c>
    </row>
    <row r="4"/>
    <row r="5">
      <c r="B5" s="3" t="inlineStr">
        <is>
          <t>1. PARÂMETROS DO PLANO DE AMOSTRAGEM E MATERIALIDADE</t>
        </is>
      </c>
    </row>
    <row r="6">
      <c r="B6" s="4" t="inlineStr">
        <is>
          <t>Parâmetro de Auditoria</t>
        </is>
      </c>
      <c r="C6" s="4" t="inlineStr">
        <is>
          <t>Valor / Critério Adotado</t>
        </is>
      </c>
      <c r="D6" s="4" t="inlineStr">
        <is>
          <t>Referência / Observação</t>
        </is>
      </c>
    </row>
    <row r="7">
      <c r="B7" s="5" t="inlineStr">
        <is>
          <t>População Total do Ativo Imobilizado</t>
        </is>
      </c>
      <c r="C7" s="6" t="n">
        <v>500000</v>
      </c>
      <c r="D7" s="5" t="inlineStr">
        <is>
          <t>Registros sintéticos no cadastro patrimonial</t>
        </is>
      </c>
    </row>
    <row r="8">
      <c r="B8" s="7" t="inlineStr">
        <is>
          <t>Método de Amostragem</t>
        </is>
      </c>
      <c r="C8" s="8" t="inlineStr">
        <is>
          <t>Amostragem Aleatória Estratificada &amp; MUS</t>
        </is>
      </c>
      <c r="D8" s="7" t="inlineStr">
        <is>
          <t>Seleção automatizada via script Python</t>
        </is>
      </c>
    </row>
    <row r="9">
      <c r="B9" s="5" t="inlineStr">
        <is>
          <t>Nível de Confiança</t>
        </is>
      </c>
      <c r="C9" s="9" t="n">
        <v>0.95</v>
      </c>
      <c r="D9" s="5" t="inlineStr">
        <is>
          <t>Risco de amostragem fixado em 5,0%</t>
        </is>
      </c>
    </row>
    <row r="10">
      <c r="B10" s="7" t="inlineStr">
        <is>
          <t>Materialidade Global</t>
        </is>
      </c>
      <c r="C10" s="10" t="n">
        <v>200000000</v>
      </c>
      <c r="D10" s="7" t="inlineStr">
        <is>
          <t>PT 320 — Planejamento de Auditoria</t>
        </is>
      </c>
    </row>
    <row r="11">
      <c r="B11" s="5" t="inlineStr">
        <is>
          <t>Materialidade de Desempenho</t>
        </is>
      </c>
      <c r="C11" s="11" t="n">
        <v>150000000</v>
      </c>
      <c r="D11" s="5" t="inlineStr">
        <is>
          <t>PT 320 — 75% da Materialidade Global</t>
        </is>
      </c>
    </row>
    <row r="12">
      <c r="B12" s="7" t="inlineStr">
        <is>
          <t>Limite Trivial (Insignificante)</t>
        </is>
      </c>
      <c r="C12" s="10" t="n">
        <v>10000000</v>
      </c>
      <c r="D12" s="7" t="inlineStr">
        <is>
          <t>PT 320 — 5% da Materialidade Global</t>
        </is>
      </c>
    </row>
    <row r="13">
      <c r="B13" s="5" t="inlineStr">
        <is>
          <t>Tamanho da Amostra Testada</t>
        </is>
      </c>
      <c r="C13" s="6" t="n">
        <v>1000</v>
      </c>
      <c r="D13" s="5" t="inlineStr">
        <is>
          <t>Itens submetidos a testes de detalhe</t>
        </is>
      </c>
    </row>
    <row r="14"/>
    <row r="15"/>
    <row r="16">
      <c r="B16" s="3" t="inlineStr">
        <is>
          <t>2. RESUMO DOS ACHADOS DA AMOSTRA E PROJEÇÃO DE DISTORÇÕES</t>
        </is>
      </c>
    </row>
    <row r="17">
      <c r="B17" s="4" t="inlineStr">
        <is>
          <t>Categoria da Exceção</t>
        </is>
      </c>
      <c r="C17" s="12" t="inlineStr">
        <is>
          <t>Qtd. Itens</t>
        </is>
      </c>
      <c r="D17" s="12" t="inlineStr">
        <is>
          <t>Impacto Amostral Direto</t>
        </is>
      </c>
      <c r="E17" s="12" t="inlineStr">
        <is>
          <t>Distorção Projetada na População</t>
        </is>
      </c>
      <c r="F17" s="4" t="inlineStr">
        <is>
          <t>Avaliação Qualitativa &amp; Procedimento</t>
        </is>
      </c>
    </row>
    <row r="18">
      <c r="B18" s="7" t="inlineStr">
        <is>
          <t>Saldos Negativos (Erro Monetário)</t>
        </is>
      </c>
      <c r="C18" s="13" t="n">
        <v>25</v>
      </c>
      <c r="D18" s="14" t="n">
        <v>-1130012.5</v>
      </c>
      <c r="E18" s="14" t="n">
        <v>1130012.5</v>
      </c>
      <c r="F18" s="8" t="inlineStr">
        <is>
          <t>Distorção trivial (Abaixo de R$ 10 mi). Falha de trava no ERP (PT 265).</t>
        </is>
      </c>
    </row>
    <row r="19">
      <c r="B19" s="7" t="inlineStr">
        <is>
          <t>Inconsistência Temporal (Cut-off)</t>
        </is>
      </c>
      <c r="C19" s="13" t="n">
        <v>40</v>
      </c>
      <c r="D19" s="14" t="n">
        <v>0</v>
      </c>
      <c r="E19" s="14" t="n">
        <v>0</v>
      </c>
      <c r="F19" s="8" t="inlineStr">
        <is>
          <t>Registros de 2025 com data de 2026. Falha de corte/controle temporal.</t>
        </is>
      </c>
    </row>
    <row r="20">
      <c r="B20" s="7" t="inlineStr">
        <is>
          <t>Duplicidade de Cadastro (Plaquetas)</t>
        </is>
      </c>
      <c r="C20" s="13" t="n">
        <v>15</v>
      </c>
      <c r="D20" s="14" t="n">
        <v>0</v>
      </c>
      <c r="E20" s="14" t="n">
        <v>0</v>
      </c>
      <c r="F20" s="8" t="inlineStr">
        <is>
          <t>Plaquetas duplicadas sem efeito financeiro direto imediato.</t>
        </is>
      </c>
    </row>
    <row r="21">
      <c r="B21" s="15" t="inlineStr">
        <is>
          <t>TOTAL DAS EXCEÇÕES IDENTIFICADAS</t>
        </is>
      </c>
      <c r="C21" s="16">
        <f>SUM(C18:C20)</f>
        <v/>
      </c>
      <c r="D21" s="17">
        <f>SUM(D18:D20)</f>
        <v/>
      </c>
      <c r="E21" s="17">
        <f>SUM(E18:E20)</f>
        <v/>
      </c>
      <c r="F21" s="15" t="inlineStr">
        <is>
          <t>Conclusão: Distorção monetária inferior ao Limite Trivial (Opinião sem ressalvas).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53" customWidth="1" min="3" max="3"/>
    <col width="20" customWidth="1" min="4" max="4"/>
    <col width="18" customWidth="1" min="5" max="5"/>
    <col width="37" customWidth="1" min="6" max="6"/>
    <col width="20" customWidth="1" min="7" max="7"/>
    <col width="26" customWidth="1" min="8" max="8"/>
    <col width="22" customWidth="1" min="9" max="9"/>
    <col width="59" customWidth="1" min="10" max="10"/>
  </cols>
  <sheetData>
    <row r="1"/>
    <row r="2">
      <c r="B2" s="1" t="inlineStr">
        <is>
          <t>KLABIN S.A. — DETALHAMENTO DAS EXCEÇÕES DA AMOSTRA (PT 530)</t>
        </is>
      </c>
    </row>
    <row r="3"/>
    <row r="4">
      <c r="B4" s="12" t="inlineStr">
        <is>
          <t>ID Imobilizado</t>
        </is>
      </c>
      <c r="C4" s="12" t="inlineStr">
        <is>
          <t>Descrição do Ativo</t>
        </is>
      </c>
      <c r="D4" s="12" t="inlineStr">
        <is>
          <t>Data de Registro</t>
        </is>
      </c>
      <c r="E4" s="12" t="inlineStr">
        <is>
          <t>Plaqueta Tombo</t>
        </is>
      </c>
      <c r="F4" s="12" t="inlineStr">
        <is>
          <t>Categoria de Inconsistência</t>
        </is>
      </c>
      <c r="G4" s="12" t="inlineStr">
        <is>
          <t>Valor Bruto (R$)</t>
        </is>
      </c>
      <c r="H4" s="12" t="inlineStr">
        <is>
          <t>Depreciação Acum. (R$)</t>
        </is>
      </c>
      <c r="I4" s="12" t="inlineStr">
        <is>
          <t>Valor Líquido (R$)</t>
        </is>
      </c>
      <c r="J4" s="12" t="inlineStr">
        <is>
          <t>Status / Apontamento PT 265</t>
        </is>
      </c>
    </row>
    <row r="5">
      <c r="B5" s="18" t="inlineStr">
        <is>
          <t>IMOB-100111</t>
        </is>
      </c>
      <c r="C5" s="19" t="inlineStr">
        <is>
          <t>Secadora de Celulose 02 #1</t>
        </is>
      </c>
      <c r="D5" s="18" t="inlineStr">
        <is>
          <t>2025-05-12</t>
        </is>
      </c>
      <c r="E5" s="18" t="inlineStr">
        <is>
          <t>PLK-2025-8001</t>
        </is>
      </c>
      <c r="F5" s="18" t="inlineStr">
        <is>
          <t>Saldo Negativo</t>
        </is>
      </c>
      <c r="G5" s="20" t="n">
        <v>100000</v>
      </c>
      <c r="H5" s="20" t="n">
        <v>145200.5</v>
      </c>
      <c r="I5" s="20" t="n">
        <v>-45200.5</v>
      </c>
      <c r="J5" s="19" t="inlineStr">
        <is>
          <t>Erro de depreciação excessiva no ERP; impacta PT 265</t>
        </is>
      </c>
    </row>
    <row r="6">
      <c r="B6" s="21" t="inlineStr">
        <is>
          <t>IMOB-100222</t>
        </is>
      </c>
      <c r="C6" s="8" t="inlineStr">
        <is>
          <t>Silo de Cavacos Fabril #2</t>
        </is>
      </c>
      <c r="D6" s="21" t="inlineStr">
        <is>
          <t>2025-05-12</t>
        </is>
      </c>
      <c r="E6" s="21" t="inlineStr">
        <is>
          <t>PLK-2025-8002</t>
        </is>
      </c>
      <c r="F6" s="21" t="inlineStr">
        <is>
          <t>Saldo Negativo</t>
        </is>
      </c>
      <c r="G6" s="14" t="n">
        <v>100000</v>
      </c>
      <c r="H6" s="14" t="n">
        <v>145200.5</v>
      </c>
      <c r="I6" s="14" t="n">
        <v>-45200.5</v>
      </c>
      <c r="J6" s="8" t="inlineStr">
        <is>
          <t>Erro de depreciação excessiva no ERP; impacta PT 265</t>
        </is>
      </c>
    </row>
    <row r="7">
      <c r="B7" s="18" t="inlineStr">
        <is>
          <t>IMOB-100333</t>
        </is>
      </c>
      <c r="C7" s="19" t="inlineStr">
        <is>
          <t>Descascador de Toras Industrial #3</t>
        </is>
      </c>
      <c r="D7" s="18" t="inlineStr">
        <is>
          <t>2025-05-12</t>
        </is>
      </c>
      <c r="E7" s="18" t="inlineStr">
        <is>
          <t>PLK-2025-8003</t>
        </is>
      </c>
      <c r="F7" s="18" t="inlineStr">
        <is>
          <t>Saldo Negativo</t>
        </is>
      </c>
      <c r="G7" s="20" t="n">
        <v>100000</v>
      </c>
      <c r="H7" s="20" t="n">
        <v>145200.5</v>
      </c>
      <c r="I7" s="20" t="n">
        <v>-45200.5</v>
      </c>
      <c r="J7" s="19" t="inlineStr">
        <is>
          <t>Erro de depreciação excessiva no ERP; impacta PT 265</t>
        </is>
      </c>
    </row>
    <row r="8">
      <c r="B8" s="21" t="inlineStr">
        <is>
          <t>IMOB-100444</t>
        </is>
      </c>
      <c r="C8" s="8" t="inlineStr">
        <is>
          <t>Empilhadeira Elétrica Hyster #4</t>
        </is>
      </c>
      <c r="D8" s="21" t="inlineStr">
        <is>
          <t>2025-05-12</t>
        </is>
      </c>
      <c r="E8" s="21" t="inlineStr">
        <is>
          <t>PLK-2025-8004</t>
        </is>
      </c>
      <c r="F8" s="21" t="inlineStr">
        <is>
          <t>Saldo Negativo</t>
        </is>
      </c>
      <c r="G8" s="14" t="n">
        <v>100000</v>
      </c>
      <c r="H8" s="14" t="n">
        <v>145200.5</v>
      </c>
      <c r="I8" s="14" t="n">
        <v>-45200.5</v>
      </c>
      <c r="J8" s="8" t="inlineStr">
        <is>
          <t>Erro de depreciação excessiva no ERP; impacta PT 265</t>
        </is>
      </c>
    </row>
    <row r="9">
      <c r="B9" s="18" t="inlineStr">
        <is>
          <t>IMOB-100555</t>
        </is>
      </c>
      <c r="C9" s="19" t="inlineStr">
        <is>
          <t>Máquina de Papel MP-27 #5</t>
        </is>
      </c>
      <c r="D9" s="18" t="inlineStr">
        <is>
          <t>2025-05-12</t>
        </is>
      </c>
      <c r="E9" s="18" t="inlineStr">
        <is>
          <t>PLK-2025-8005</t>
        </is>
      </c>
      <c r="F9" s="18" t="inlineStr">
        <is>
          <t>Saldo Negativo</t>
        </is>
      </c>
      <c r="G9" s="20" t="n">
        <v>100000</v>
      </c>
      <c r="H9" s="20" t="n">
        <v>145200.5</v>
      </c>
      <c r="I9" s="20" t="n">
        <v>-45200.5</v>
      </c>
      <c r="J9" s="19" t="inlineStr">
        <is>
          <t>Erro de depreciação excessiva no ERP; impacta PT 265</t>
        </is>
      </c>
    </row>
    <row r="10">
      <c r="B10" s="21" t="inlineStr">
        <is>
          <t>IMOB-100666</t>
        </is>
      </c>
      <c r="C10" s="8" t="inlineStr">
        <is>
          <t>Caldeira de Recuperação A #6</t>
        </is>
      </c>
      <c r="D10" s="21" t="inlineStr">
        <is>
          <t>2025-05-12</t>
        </is>
      </c>
      <c r="E10" s="21" t="inlineStr">
        <is>
          <t>PLK-2025-8006</t>
        </is>
      </c>
      <c r="F10" s="21" t="inlineStr">
        <is>
          <t>Saldo Negativo</t>
        </is>
      </c>
      <c r="G10" s="14" t="n">
        <v>100000</v>
      </c>
      <c r="H10" s="14" t="n">
        <v>145200.5</v>
      </c>
      <c r="I10" s="14" t="n">
        <v>-45200.5</v>
      </c>
      <c r="J10" s="8" t="inlineStr">
        <is>
          <t>Erro de depreciação excessiva no ERP; impacta PT 265</t>
        </is>
      </c>
    </row>
    <row r="11">
      <c r="B11" s="18" t="inlineStr">
        <is>
          <t>IMOB-100777</t>
        </is>
      </c>
      <c r="C11" s="19" t="inlineStr">
        <is>
          <t>Caldeira de Recuperação A #7</t>
        </is>
      </c>
      <c r="D11" s="18" t="inlineStr">
        <is>
          <t>2025-05-12</t>
        </is>
      </c>
      <c r="E11" s="18" t="inlineStr">
        <is>
          <t>PLK-2025-8007</t>
        </is>
      </c>
      <c r="F11" s="18" t="inlineStr">
        <is>
          <t>Saldo Negativo</t>
        </is>
      </c>
      <c r="G11" s="20" t="n">
        <v>100000</v>
      </c>
      <c r="H11" s="20" t="n">
        <v>145200.5</v>
      </c>
      <c r="I11" s="20" t="n">
        <v>-45200.5</v>
      </c>
      <c r="J11" s="19" t="inlineStr">
        <is>
          <t>Erro de depreciação excessiva no ERP; impacta PT 265</t>
        </is>
      </c>
    </row>
    <row r="12">
      <c r="B12" s="21" t="inlineStr">
        <is>
          <t>IMOB-100888</t>
        </is>
      </c>
      <c r="C12" s="8" t="inlineStr">
        <is>
          <t>Digestor Contínuo Celulose #8</t>
        </is>
      </c>
      <c r="D12" s="21" t="inlineStr">
        <is>
          <t>2025-05-12</t>
        </is>
      </c>
      <c r="E12" s="21" t="inlineStr">
        <is>
          <t>PLK-2025-8008</t>
        </is>
      </c>
      <c r="F12" s="21" t="inlineStr">
        <is>
          <t>Saldo Negativo</t>
        </is>
      </c>
      <c r="G12" s="14" t="n">
        <v>100000</v>
      </c>
      <c r="H12" s="14" t="n">
        <v>145200.5</v>
      </c>
      <c r="I12" s="14" t="n">
        <v>-45200.5</v>
      </c>
      <c r="J12" s="8" t="inlineStr">
        <is>
          <t>Erro de depreciação excessiva no ERP; impacta PT 265</t>
        </is>
      </c>
    </row>
    <row r="13">
      <c r="B13" s="18" t="inlineStr">
        <is>
          <t>IMOB-100999</t>
        </is>
      </c>
      <c r="C13" s="19" t="inlineStr">
        <is>
          <t>Empilhadeira Elétrica Hyster #9</t>
        </is>
      </c>
      <c r="D13" s="18" t="inlineStr">
        <is>
          <t>2025-05-12</t>
        </is>
      </c>
      <c r="E13" s="18" t="inlineStr">
        <is>
          <t>PLK-2025-8009</t>
        </is>
      </c>
      <c r="F13" s="18" t="inlineStr">
        <is>
          <t>Saldo Negativo</t>
        </is>
      </c>
      <c r="G13" s="20" t="n">
        <v>100000</v>
      </c>
      <c r="H13" s="20" t="n">
        <v>145200.5</v>
      </c>
      <c r="I13" s="20" t="n">
        <v>-45200.5</v>
      </c>
      <c r="J13" s="19" t="inlineStr">
        <is>
          <t>Erro de depreciação excessiva no ERP; impacta PT 265</t>
        </is>
      </c>
    </row>
    <row r="14">
      <c r="B14" s="21" t="inlineStr">
        <is>
          <t>IMOB-101110</t>
        </is>
      </c>
      <c r="C14" s="8" t="inlineStr">
        <is>
          <t>Silo de Cavacos Fabril #10</t>
        </is>
      </c>
      <c r="D14" s="21" t="inlineStr">
        <is>
          <t>2025-05-12</t>
        </is>
      </c>
      <c r="E14" s="21" t="inlineStr">
        <is>
          <t>PLK-2025-8010</t>
        </is>
      </c>
      <c r="F14" s="21" t="inlineStr">
        <is>
          <t>Saldo Negativo</t>
        </is>
      </c>
      <c r="G14" s="14" t="n">
        <v>100000</v>
      </c>
      <c r="H14" s="14" t="n">
        <v>145200.5</v>
      </c>
      <c r="I14" s="14" t="n">
        <v>-45200.5</v>
      </c>
      <c r="J14" s="8" t="inlineStr">
        <is>
          <t>Erro de depreciação excessiva no ERP; impacta PT 265</t>
        </is>
      </c>
    </row>
    <row r="15">
      <c r="B15" s="18" t="inlineStr">
        <is>
          <t>IMOB-101221</t>
        </is>
      </c>
      <c r="C15" s="19" t="inlineStr">
        <is>
          <t>Secadora de Celulose 02 #11</t>
        </is>
      </c>
      <c r="D15" s="18" t="inlineStr">
        <is>
          <t>2025-05-12</t>
        </is>
      </c>
      <c r="E15" s="18" t="inlineStr">
        <is>
          <t>PLK-2025-8011</t>
        </is>
      </c>
      <c r="F15" s="18" t="inlineStr">
        <is>
          <t>Saldo Negativo</t>
        </is>
      </c>
      <c r="G15" s="20" t="n">
        <v>100000</v>
      </c>
      <c r="H15" s="20" t="n">
        <v>145200.5</v>
      </c>
      <c r="I15" s="20" t="n">
        <v>-45200.5</v>
      </c>
      <c r="J15" s="19" t="inlineStr">
        <is>
          <t>Erro de depreciação excessiva no ERP; impacta PT 265</t>
        </is>
      </c>
    </row>
    <row r="16">
      <c r="B16" s="21" t="inlineStr">
        <is>
          <t>IMOB-101332</t>
        </is>
      </c>
      <c r="C16" s="8" t="inlineStr">
        <is>
          <t>Empilhadeira Elétrica Hyster #12</t>
        </is>
      </c>
      <c r="D16" s="21" t="inlineStr">
        <is>
          <t>2025-05-12</t>
        </is>
      </c>
      <c r="E16" s="21" t="inlineStr">
        <is>
          <t>PLK-2025-8012</t>
        </is>
      </c>
      <c r="F16" s="21" t="inlineStr">
        <is>
          <t>Saldo Negativo</t>
        </is>
      </c>
      <c r="G16" s="14" t="n">
        <v>100000</v>
      </c>
      <c r="H16" s="14" t="n">
        <v>145200.5</v>
      </c>
      <c r="I16" s="14" t="n">
        <v>-45200.5</v>
      </c>
      <c r="J16" s="8" t="inlineStr">
        <is>
          <t>Erro de depreciação excessiva no ERP; impacta PT 265</t>
        </is>
      </c>
    </row>
    <row r="17">
      <c r="B17" s="18" t="inlineStr">
        <is>
          <t>IMOB-101443</t>
        </is>
      </c>
      <c r="C17" s="19" t="inlineStr">
        <is>
          <t>Prensa de Garrafas e Caixas #13</t>
        </is>
      </c>
      <c r="D17" s="18" t="inlineStr">
        <is>
          <t>2025-05-12</t>
        </is>
      </c>
      <c r="E17" s="18" t="inlineStr">
        <is>
          <t>PLK-2025-8013</t>
        </is>
      </c>
      <c r="F17" s="18" t="inlineStr">
        <is>
          <t>Saldo Negativo</t>
        </is>
      </c>
      <c r="G17" s="20" t="n">
        <v>100000</v>
      </c>
      <c r="H17" s="20" t="n">
        <v>145200.5</v>
      </c>
      <c r="I17" s="20" t="n">
        <v>-45200.5</v>
      </c>
      <c r="J17" s="19" t="inlineStr">
        <is>
          <t>Erro de depreciação excessiva no ERP; impacta PT 265</t>
        </is>
      </c>
    </row>
    <row r="18">
      <c r="B18" s="21" t="inlineStr">
        <is>
          <t>IMOB-101554</t>
        </is>
      </c>
      <c r="C18" s="8" t="inlineStr">
        <is>
          <t>Silo de Cavacos Fabril #14</t>
        </is>
      </c>
      <c r="D18" s="21" t="inlineStr">
        <is>
          <t>2025-05-12</t>
        </is>
      </c>
      <c r="E18" s="21" t="inlineStr">
        <is>
          <t>PLK-2025-8014</t>
        </is>
      </c>
      <c r="F18" s="21" t="inlineStr">
        <is>
          <t>Saldo Negativo</t>
        </is>
      </c>
      <c r="G18" s="14" t="n">
        <v>100000</v>
      </c>
      <c r="H18" s="14" t="n">
        <v>145200.5</v>
      </c>
      <c r="I18" s="14" t="n">
        <v>-45200.5</v>
      </c>
      <c r="J18" s="8" t="inlineStr">
        <is>
          <t>Erro de depreciação excessiva no ERP; impacta PT 265</t>
        </is>
      </c>
    </row>
    <row r="19">
      <c r="B19" s="18" t="inlineStr">
        <is>
          <t>IMOB-101665</t>
        </is>
      </c>
      <c r="C19" s="19" t="inlineStr">
        <is>
          <t>Tubulação de Efluentes Unidade Puma #15</t>
        </is>
      </c>
      <c r="D19" s="18" t="inlineStr">
        <is>
          <t>2025-05-12</t>
        </is>
      </c>
      <c r="E19" s="18" t="inlineStr">
        <is>
          <t>PLK-2025-8015</t>
        </is>
      </c>
      <c r="F19" s="18" t="inlineStr">
        <is>
          <t>Saldo Negativo</t>
        </is>
      </c>
      <c r="G19" s="20" t="n">
        <v>100000</v>
      </c>
      <c r="H19" s="20" t="n">
        <v>145200.5</v>
      </c>
      <c r="I19" s="20" t="n">
        <v>-45200.5</v>
      </c>
      <c r="J19" s="19" t="inlineStr">
        <is>
          <t>Erro de depreciação excessiva no ERP; impacta PT 265</t>
        </is>
      </c>
    </row>
    <row r="20">
      <c r="B20" s="21" t="inlineStr">
        <is>
          <t>IMOB-101776</t>
        </is>
      </c>
      <c r="C20" s="8" t="inlineStr">
        <is>
          <t>Pá Carregadeira Volvo #16</t>
        </is>
      </c>
      <c r="D20" s="21" t="inlineStr">
        <is>
          <t>2025-05-12</t>
        </is>
      </c>
      <c r="E20" s="21" t="inlineStr">
        <is>
          <t>PLK-2025-8016</t>
        </is>
      </c>
      <c r="F20" s="21" t="inlineStr">
        <is>
          <t>Saldo Negativo</t>
        </is>
      </c>
      <c r="G20" s="14" t="n">
        <v>100000</v>
      </c>
      <c r="H20" s="14" t="n">
        <v>145200.5</v>
      </c>
      <c r="I20" s="14" t="n">
        <v>-45200.5</v>
      </c>
      <c r="J20" s="8" t="inlineStr">
        <is>
          <t>Erro de depreciação excessiva no ERP; impacta PT 265</t>
        </is>
      </c>
    </row>
    <row r="21">
      <c r="B21" s="18" t="inlineStr">
        <is>
          <t>IMOB-101887</t>
        </is>
      </c>
      <c r="C21" s="19" t="inlineStr">
        <is>
          <t>Descascador de Toras Industrial #17</t>
        </is>
      </c>
      <c r="D21" s="18" t="inlineStr">
        <is>
          <t>2025-05-12</t>
        </is>
      </c>
      <c r="E21" s="18" t="inlineStr">
        <is>
          <t>PLK-2025-8017</t>
        </is>
      </c>
      <c r="F21" s="18" t="inlineStr">
        <is>
          <t>Saldo Negativo</t>
        </is>
      </c>
      <c r="G21" s="20" t="n">
        <v>100000</v>
      </c>
      <c r="H21" s="20" t="n">
        <v>145200.5</v>
      </c>
      <c r="I21" s="20" t="n">
        <v>-45200.5</v>
      </c>
      <c r="J21" s="19" t="inlineStr">
        <is>
          <t>Erro de depreciação excessiva no ERP; impacta PT 265</t>
        </is>
      </c>
    </row>
    <row r="22">
      <c r="B22" s="21" t="inlineStr">
        <is>
          <t>IMOB-101998</t>
        </is>
      </c>
      <c r="C22" s="8" t="inlineStr">
        <is>
          <t>Descascador de Toras Industrial #18</t>
        </is>
      </c>
      <c r="D22" s="21" t="inlineStr">
        <is>
          <t>2025-05-12</t>
        </is>
      </c>
      <c r="E22" s="21" t="inlineStr">
        <is>
          <t>PLK-2025-8018</t>
        </is>
      </c>
      <c r="F22" s="21" t="inlineStr">
        <is>
          <t>Saldo Negativo</t>
        </is>
      </c>
      <c r="G22" s="14" t="n">
        <v>100000</v>
      </c>
      <c r="H22" s="14" t="n">
        <v>145200.5</v>
      </c>
      <c r="I22" s="14" t="n">
        <v>-45200.5</v>
      </c>
      <c r="J22" s="8" t="inlineStr">
        <is>
          <t>Erro de depreciação excessiva no ERP; impacta PT 265</t>
        </is>
      </c>
    </row>
    <row r="23">
      <c r="B23" s="18" t="inlineStr">
        <is>
          <t>IMOB-102109</t>
        </is>
      </c>
      <c r="C23" s="19" t="inlineStr">
        <is>
          <t>Silo de Cavacos Fabril #19</t>
        </is>
      </c>
      <c r="D23" s="18" t="inlineStr">
        <is>
          <t>2025-05-12</t>
        </is>
      </c>
      <c r="E23" s="18" t="inlineStr">
        <is>
          <t>PLK-2025-8019</t>
        </is>
      </c>
      <c r="F23" s="18" t="inlineStr">
        <is>
          <t>Saldo Negativo</t>
        </is>
      </c>
      <c r="G23" s="20" t="n">
        <v>100000</v>
      </c>
      <c r="H23" s="20" t="n">
        <v>145200.5</v>
      </c>
      <c r="I23" s="20" t="n">
        <v>-45200.5</v>
      </c>
      <c r="J23" s="19" t="inlineStr">
        <is>
          <t>Erro de depreciação excessiva no ERP; impacta PT 265</t>
        </is>
      </c>
    </row>
    <row r="24">
      <c r="B24" s="21" t="inlineStr">
        <is>
          <t>IMOB-102220</t>
        </is>
      </c>
      <c r="C24" s="8" t="inlineStr">
        <is>
          <t>Caldeira de Recuperação A #20</t>
        </is>
      </c>
      <c r="D24" s="21" t="inlineStr">
        <is>
          <t>2025-05-12</t>
        </is>
      </c>
      <c r="E24" s="21" t="inlineStr">
        <is>
          <t>PLK-2025-8020</t>
        </is>
      </c>
      <c r="F24" s="21" t="inlineStr">
        <is>
          <t>Saldo Negativo</t>
        </is>
      </c>
      <c r="G24" s="14" t="n">
        <v>100000</v>
      </c>
      <c r="H24" s="14" t="n">
        <v>145200.5</v>
      </c>
      <c r="I24" s="14" t="n">
        <v>-45200.5</v>
      </c>
      <c r="J24" s="8" t="inlineStr">
        <is>
          <t>Erro de depreciação excessiva no ERP; impacta PT 265</t>
        </is>
      </c>
    </row>
    <row r="25">
      <c r="B25" s="18" t="inlineStr">
        <is>
          <t>IMOB-102331</t>
        </is>
      </c>
      <c r="C25" s="19" t="inlineStr">
        <is>
          <t>Caldeira de Recuperação A #21</t>
        </is>
      </c>
      <c r="D25" s="18" t="inlineStr">
        <is>
          <t>2025-05-12</t>
        </is>
      </c>
      <c r="E25" s="18" t="inlineStr">
        <is>
          <t>PLK-2025-8021</t>
        </is>
      </c>
      <c r="F25" s="18" t="inlineStr">
        <is>
          <t>Saldo Negativo</t>
        </is>
      </c>
      <c r="G25" s="20" t="n">
        <v>100000</v>
      </c>
      <c r="H25" s="20" t="n">
        <v>145200.5</v>
      </c>
      <c r="I25" s="20" t="n">
        <v>-45200.5</v>
      </c>
      <c r="J25" s="19" t="inlineStr">
        <is>
          <t>Erro de depreciação excessiva no ERP; impacta PT 265</t>
        </is>
      </c>
    </row>
    <row r="26">
      <c r="B26" s="21" t="inlineStr">
        <is>
          <t>IMOB-102442</t>
        </is>
      </c>
      <c r="C26" s="8" t="inlineStr">
        <is>
          <t>Prensa de Garrafas e Caixas #22</t>
        </is>
      </c>
      <c r="D26" s="21" t="inlineStr">
        <is>
          <t>2025-05-12</t>
        </is>
      </c>
      <c r="E26" s="21" t="inlineStr">
        <is>
          <t>PLK-2025-8022</t>
        </is>
      </c>
      <c r="F26" s="21" t="inlineStr">
        <is>
          <t>Saldo Negativo</t>
        </is>
      </c>
      <c r="G26" s="14" t="n">
        <v>100000</v>
      </c>
      <c r="H26" s="14" t="n">
        <v>145200.5</v>
      </c>
      <c r="I26" s="14" t="n">
        <v>-45200.5</v>
      </c>
      <c r="J26" s="8" t="inlineStr">
        <is>
          <t>Erro de depreciação excessiva no ERP; impacta PT 265</t>
        </is>
      </c>
    </row>
    <row r="27">
      <c r="B27" s="18" t="inlineStr">
        <is>
          <t>IMOB-102553</t>
        </is>
      </c>
      <c r="C27" s="19" t="inlineStr">
        <is>
          <t>Tubulação de Efluentes Unidade Puma #23</t>
        </is>
      </c>
      <c r="D27" s="18" t="inlineStr">
        <is>
          <t>2025-05-12</t>
        </is>
      </c>
      <c r="E27" s="18" t="inlineStr">
        <is>
          <t>PLK-2025-8023</t>
        </is>
      </c>
      <c r="F27" s="18" t="inlineStr">
        <is>
          <t>Saldo Negativo</t>
        </is>
      </c>
      <c r="G27" s="20" t="n">
        <v>100000</v>
      </c>
      <c r="H27" s="20" t="n">
        <v>145200.5</v>
      </c>
      <c r="I27" s="20" t="n">
        <v>-45200.5</v>
      </c>
      <c r="J27" s="19" t="inlineStr">
        <is>
          <t>Erro de depreciação excessiva no ERP; impacta PT 265</t>
        </is>
      </c>
    </row>
    <row r="28">
      <c r="B28" s="21" t="inlineStr">
        <is>
          <t>IMOB-102664</t>
        </is>
      </c>
      <c r="C28" s="8" t="inlineStr">
        <is>
          <t>Descascador de Toras Industrial #24</t>
        </is>
      </c>
      <c r="D28" s="21" t="inlineStr">
        <is>
          <t>2025-05-12</t>
        </is>
      </c>
      <c r="E28" s="21" t="inlineStr">
        <is>
          <t>PLK-2025-8024</t>
        </is>
      </c>
      <c r="F28" s="21" t="inlineStr">
        <is>
          <t>Saldo Negativo</t>
        </is>
      </c>
      <c r="G28" s="14" t="n">
        <v>100000</v>
      </c>
      <c r="H28" s="14" t="n">
        <v>145200.5</v>
      </c>
      <c r="I28" s="14" t="n">
        <v>-45200.5</v>
      </c>
      <c r="J28" s="8" t="inlineStr">
        <is>
          <t>Erro de depreciação excessiva no ERP; impacta PT 265</t>
        </is>
      </c>
    </row>
    <row r="29">
      <c r="B29" s="18" t="inlineStr">
        <is>
          <t>IMOB-102775</t>
        </is>
      </c>
      <c r="C29" s="19" t="inlineStr">
        <is>
          <t>Prensa de Garrafas e Caixas #25</t>
        </is>
      </c>
      <c r="D29" s="18" t="inlineStr">
        <is>
          <t>2025-05-12</t>
        </is>
      </c>
      <c r="E29" s="18" t="inlineStr">
        <is>
          <t>PLK-2025-8025</t>
        </is>
      </c>
      <c r="F29" s="18" t="inlineStr">
        <is>
          <t>Saldo Negativo</t>
        </is>
      </c>
      <c r="G29" s="20" t="n">
        <v>100000</v>
      </c>
      <c r="H29" s="20" t="n">
        <v>145200.5</v>
      </c>
      <c r="I29" s="20" t="n">
        <v>-45200.5</v>
      </c>
      <c r="J29" s="19" t="inlineStr">
        <is>
          <t>Erro de depreciação excessiva no ERP; impacta PT 265</t>
        </is>
      </c>
    </row>
    <row r="30">
      <c r="B30" s="21" t="inlineStr">
        <is>
          <t>IMOB-200222</t>
        </is>
      </c>
      <c r="C30" s="8" t="inlineStr">
        <is>
          <t>Caldeira de Recuperação A Futuro #1</t>
        </is>
      </c>
      <c r="D30" s="21" t="inlineStr">
        <is>
          <t>2026-02-11</t>
        </is>
      </c>
      <c r="E30" s="21" t="inlineStr">
        <is>
          <t>PLK-2026-5001</t>
        </is>
      </c>
      <c r="F30" s="21" t="inlineStr">
        <is>
          <t>Inconsistência Temporal (Cut-off)</t>
        </is>
      </c>
      <c r="G30" s="14" t="n">
        <v>721412</v>
      </c>
      <c r="H30" s="14" t="n">
        <v>37493</v>
      </c>
      <c r="I30" s="14" t="n">
        <v>683919</v>
      </c>
      <c r="J30" s="8" t="inlineStr">
        <is>
          <t>Data de aquisição posticipada para 2026 lançada em 2025</t>
        </is>
      </c>
    </row>
    <row r="31">
      <c r="B31" s="18" t="inlineStr">
        <is>
          <t>IMOB-200444</t>
        </is>
      </c>
      <c r="C31" s="19" t="inlineStr">
        <is>
          <t>Caldeira de Recuperação A Futuro #2</t>
        </is>
      </c>
      <c r="D31" s="18" t="inlineStr">
        <is>
          <t>2026-02-12</t>
        </is>
      </c>
      <c r="E31" s="18" t="inlineStr">
        <is>
          <t>PLK-2026-5002</t>
        </is>
      </c>
      <c r="F31" s="18" t="inlineStr">
        <is>
          <t>Inconsistência Temporal (Cut-off)</t>
        </is>
      </c>
      <c r="G31" s="20" t="n">
        <v>621029</v>
      </c>
      <c r="H31" s="20" t="n">
        <v>48618</v>
      </c>
      <c r="I31" s="20" t="n">
        <v>572411</v>
      </c>
      <c r="J31" s="19" t="inlineStr">
        <is>
          <t>Data de aquisição posticipada para 2026 lançada em 2025</t>
        </is>
      </c>
    </row>
    <row r="32">
      <c r="B32" s="21" t="inlineStr">
        <is>
          <t>IMOB-200666</t>
        </is>
      </c>
      <c r="C32" s="8" t="inlineStr">
        <is>
          <t>Máquina de Papel MP-27 Futuro #3</t>
        </is>
      </c>
      <c r="D32" s="21" t="inlineStr">
        <is>
          <t>2026-02-13</t>
        </is>
      </c>
      <c r="E32" s="21" t="inlineStr">
        <is>
          <t>PLK-2026-5003</t>
        </is>
      </c>
      <c r="F32" s="21" t="inlineStr">
        <is>
          <t>Inconsistência Temporal (Cut-off)</t>
        </is>
      </c>
      <c r="G32" s="14" t="n">
        <v>156814</v>
      </c>
      <c r="H32" s="14" t="n">
        <v>20463</v>
      </c>
      <c r="I32" s="14" t="n">
        <v>136351</v>
      </c>
      <c r="J32" s="8" t="inlineStr">
        <is>
          <t>Data de aquisição posticipada para 2026 lançada em 2025</t>
        </is>
      </c>
    </row>
    <row r="33">
      <c r="B33" s="18" t="inlineStr">
        <is>
          <t>IMOB-200888</t>
        </is>
      </c>
      <c r="C33" s="19" t="inlineStr">
        <is>
          <t>Empilhadeira Elétrica Hyster Futuro #4</t>
        </is>
      </c>
      <c r="D33" s="18" t="inlineStr">
        <is>
          <t>2026-02-14</t>
        </is>
      </c>
      <c r="E33" s="18" t="inlineStr">
        <is>
          <t>PLK-2026-5004</t>
        </is>
      </c>
      <c r="F33" s="18" t="inlineStr">
        <is>
          <t>Inconsistência Temporal (Cut-off)</t>
        </is>
      </c>
      <c r="G33" s="20" t="n">
        <v>593143</v>
      </c>
      <c r="H33" s="20" t="n">
        <v>32298</v>
      </c>
      <c r="I33" s="20" t="n">
        <v>560845</v>
      </c>
      <c r="J33" s="19" t="inlineStr">
        <is>
          <t>Data de aquisição posticipada para 2026 lançada em 2025</t>
        </is>
      </c>
    </row>
    <row r="34">
      <c r="B34" s="21" t="inlineStr">
        <is>
          <t>IMOB-201110</t>
        </is>
      </c>
      <c r="C34" s="8" t="inlineStr">
        <is>
          <t>Máquina de Papel MP-27 Futuro #5</t>
        </is>
      </c>
      <c r="D34" s="21" t="inlineStr">
        <is>
          <t>2026-02-15</t>
        </is>
      </c>
      <c r="E34" s="21" t="inlineStr">
        <is>
          <t>PLK-2026-5005</t>
        </is>
      </c>
      <c r="F34" s="21" t="inlineStr">
        <is>
          <t>Inconsistência Temporal (Cut-off)</t>
        </is>
      </c>
      <c r="G34" s="14" t="n">
        <v>313032</v>
      </c>
      <c r="H34" s="14" t="n">
        <v>24110</v>
      </c>
      <c r="I34" s="14" t="n">
        <v>288922</v>
      </c>
      <c r="J34" s="8" t="inlineStr">
        <is>
          <t>Data de aquisição posticipada para 2026 lançada em 2025</t>
        </is>
      </c>
    </row>
    <row r="35">
      <c r="B35" s="18" t="inlineStr">
        <is>
          <t>IMOB-201332</t>
        </is>
      </c>
      <c r="C35" s="19" t="inlineStr">
        <is>
          <t>Trator Florestal Forwarder Futuro #6</t>
        </is>
      </c>
      <c r="D35" s="18" t="inlineStr">
        <is>
          <t>2026-02-16</t>
        </is>
      </c>
      <c r="E35" s="18" t="inlineStr">
        <is>
          <t>PLK-2026-5006</t>
        </is>
      </c>
      <c r="F35" s="18" t="inlineStr">
        <is>
          <t>Inconsistência Temporal (Cut-off)</t>
        </is>
      </c>
      <c r="G35" s="20" t="n">
        <v>257175</v>
      </c>
      <c r="H35" s="20" t="n">
        <v>16078</v>
      </c>
      <c r="I35" s="20" t="n">
        <v>241097</v>
      </c>
      <c r="J35" s="19" t="inlineStr">
        <is>
          <t>Data de aquisição posticipada para 2026 lançada em 2025</t>
        </is>
      </c>
    </row>
    <row r="36">
      <c r="B36" s="21" t="inlineStr">
        <is>
          <t>IMOB-201554</t>
        </is>
      </c>
      <c r="C36" s="8" t="inlineStr">
        <is>
          <t>Pá Carregadeira Volvo Futuro #7</t>
        </is>
      </c>
      <c r="D36" s="21" t="inlineStr">
        <is>
          <t>2026-02-17</t>
        </is>
      </c>
      <c r="E36" s="21" t="inlineStr">
        <is>
          <t>PLK-2026-5007</t>
        </is>
      </c>
      <c r="F36" s="21" t="inlineStr">
        <is>
          <t>Inconsistência Temporal (Cut-off)</t>
        </is>
      </c>
      <c r="G36" s="14" t="n">
        <v>251414</v>
      </c>
      <c r="H36" s="14" t="n">
        <v>33526</v>
      </c>
      <c r="I36" s="14" t="n">
        <v>217888</v>
      </c>
      <c r="J36" s="8" t="inlineStr">
        <is>
          <t>Data de aquisição posticipada para 2026 lançada em 2025</t>
        </is>
      </c>
    </row>
    <row r="37">
      <c r="B37" s="18" t="inlineStr">
        <is>
          <t>IMOB-201776</t>
        </is>
      </c>
      <c r="C37" s="19" t="inlineStr">
        <is>
          <t>Trator Florestal Forwarder Futuro #8</t>
        </is>
      </c>
      <c r="D37" s="18" t="inlineStr">
        <is>
          <t>2026-02-18</t>
        </is>
      </c>
      <c r="E37" s="18" t="inlineStr">
        <is>
          <t>PLK-2026-5008</t>
        </is>
      </c>
      <c r="F37" s="18" t="inlineStr">
        <is>
          <t>Inconsistência Temporal (Cut-off)</t>
        </is>
      </c>
      <c r="G37" s="20" t="n">
        <v>783052</v>
      </c>
      <c r="H37" s="20" t="n">
        <v>27335</v>
      </c>
      <c r="I37" s="20" t="n">
        <v>755717</v>
      </c>
      <c r="J37" s="19" t="inlineStr">
        <is>
          <t>Data de aquisição posticipada para 2026 lançada em 2025</t>
        </is>
      </c>
    </row>
    <row r="38">
      <c r="B38" s="21" t="inlineStr">
        <is>
          <t>IMOB-201998</t>
        </is>
      </c>
      <c r="C38" s="8" t="inlineStr">
        <is>
          <t>Descascador de Toras Industrial Futuro #9</t>
        </is>
      </c>
      <c r="D38" s="21" t="inlineStr">
        <is>
          <t>2026-02-19</t>
        </is>
      </c>
      <c r="E38" s="21" t="inlineStr">
        <is>
          <t>PLK-2026-5009</t>
        </is>
      </c>
      <c r="F38" s="21" t="inlineStr">
        <is>
          <t>Inconsistência Temporal (Cut-off)</t>
        </is>
      </c>
      <c r="G38" s="14" t="n">
        <v>631741</v>
      </c>
      <c r="H38" s="14" t="n">
        <v>45142</v>
      </c>
      <c r="I38" s="14" t="n">
        <v>586599</v>
      </c>
      <c r="J38" s="8" t="inlineStr">
        <is>
          <t>Data de aquisição posticipada para 2026 lançada em 2025</t>
        </is>
      </c>
    </row>
    <row r="39">
      <c r="B39" s="18" t="inlineStr">
        <is>
          <t>IMOB-202220</t>
        </is>
      </c>
      <c r="C39" s="19" t="inlineStr">
        <is>
          <t>Silo de Cavacos Fabril Futuro #10</t>
        </is>
      </c>
      <c r="D39" s="18" t="inlineStr">
        <is>
          <t>2026-02-20</t>
        </is>
      </c>
      <c r="E39" s="18" t="inlineStr">
        <is>
          <t>PLK-2026-5010</t>
        </is>
      </c>
      <c r="F39" s="18" t="inlineStr">
        <is>
          <t>Inconsistência Temporal (Cut-off)</t>
        </is>
      </c>
      <c r="G39" s="20" t="n">
        <v>546922</v>
      </c>
      <c r="H39" s="20" t="n">
        <v>15164</v>
      </c>
      <c r="I39" s="20" t="n">
        <v>531758</v>
      </c>
      <c r="J39" s="19" t="inlineStr">
        <is>
          <t>Data de aquisição posticipada para 2026 lançada em 2025</t>
        </is>
      </c>
    </row>
    <row r="40">
      <c r="B40" s="21" t="inlineStr">
        <is>
          <t>IMOB-202442</t>
        </is>
      </c>
      <c r="C40" s="8" t="inlineStr">
        <is>
          <t>Prensa de Garrafas e Caixas Futuro #11</t>
        </is>
      </c>
      <c r="D40" s="21" t="inlineStr">
        <is>
          <t>2026-02-21</t>
        </is>
      </c>
      <c r="E40" s="21" t="inlineStr">
        <is>
          <t>PLK-2026-5011</t>
        </is>
      </c>
      <c r="F40" s="21" t="inlineStr">
        <is>
          <t>Inconsistência Temporal (Cut-off)</t>
        </is>
      </c>
      <c r="G40" s="14" t="n">
        <v>457419</v>
      </c>
      <c r="H40" s="14" t="n">
        <v>33700</v>
      </c>
      <c r="I40" s="14" t="n">
        <v>423719</v>
      </c>
      <c r="J40" s="8" t="inlineStr">
        <is>
          <t>Data de aquisição posticipada para 2026 lançada em 2025</t>
        </is>
      </c>
    </row>
    <row r="41">
      <c r="B41" s="18" t="inlineStr">
        <is>
          <t>IMOB-202664</t>
        </is>
      </c>
      <c r="C41" s="19" t="inlineStr">
        <is>
          <t>Tubulação de Efluentes Unidade Puma Futuro #12</t>
        </is>
      </c>
      <c r="D41" s="18" t="inlineStr">
        <is>
          <t>2026-02-22</t>
        </is>
      </c>
      <c r="E41" s="18" t="inlineStr">
        <is>
          <t>PLK-2026-5012</t>
        </is>
      </c>
      <c r="F41" s="18" t="inlineStr">
        <is>
          <t>Inconsistência Temporal (Cut-off)</t>
        </is>
      </c>
      <c r="G41" s="20" t="n">
        <v>351629</v>
      </c>
      <c r="H41" s="20" t="n">
        <v>14558</v>
      </c>
      <c r="I41" s="20" t="n">
        <v>337071</v>
      </c>
      <c r="J41" s="19" t="inlineStr">
        <is>
          <t>Data de aquisição posticipada para 2026 lançada em 2025</t>
        </is>
      </c>
    </row>
    <row r="42">
      <c r="B42" s="21" t="inlineStr">
        <is>
          <t>IMOB-202886</t>
        </is>
      </c>
      <c r="C42" s="8" t="inlineStr">
        <is>
          <t>Descascador de Toras Industrial Futuro #13</t>
        </is>
      </c>
      <c r="D42" s="21" t="inlineStr">
        <is>
          <t>2026-02-23</t>
        </is>
      </c>
      <c r="E42" s="21" t="inlineStr">
        <is>
          <t>PLK-2026-5013</t>
        </is>
      </c>
      <c r="F42" s="21" t="inlineStr">
        <is>
          <t>Inconsistência Temporal (Cut-off)</t>
        </is>
      </c>
      <c r="G42" s="14" t="n">
        <v>388968</v>
      </c>
      <c r="H42" s="14" t="n">
        <v>28965</v>
      </c>
      <c r="I42" s="14" t="n">
        <v>360003</v>
      </c>
      <c r="J42" s="8" t="inlineStr">
        <is>
          <t>Data de aquisição posticipada para 2026 lançada em 2025</t>
        </is>
      </c>
    </row>
    <row r="43">
      <c r="B43" s="18" t="inlineStr">
        <is>
          <t>IMOB-203108</t>
        </is>
      </c>
      <c r="C43" s="19" t="inlineStr">
        <is>
          <t>Silo de Cavacos Fabril Futuro #14</t>
        </is>
      </c>
      <c r="D43" s="18" t="inlineStr">
        <is>
          <t>2026-02-24</t>
        </is>
      </c>
      <c r="E43" s="18" t="inlineStr">
        <is>
          <t>PLK-2026-5014</t>
        </is>
      </c>
      <c r="F43" s="18" t="inlineStr">
        <is>
          <t>Inconsistência Temporal (Cut-off)</t>
        </is>
      </c>
      <c r="G43" s="20" t="n">
        <v>394098</v>
      </c>
      <c r="H43" s="20" t="n">
        <v>16619</v>
      </c>
      <c r="I43" s="20" t="n">
        <v>377479</v>
      </c>
      <c r="J43" s="19" t="inlineStr">
        <is>
          <t>Data de aquisição posticipada para 2026 lançada em 2025</t>
        </is>
      </c>
    </row>
    <row r="44">
      <c r="B44" s="21" t="inlineStr">
        <is>
          <t>IMOB-203330</t>
        </is>
      </c>
      <c r="C44" s="8" t="inlineStr">
        <is>
          <t>Pá Carregadeira Volvo Futuro #15</t>
        </is>
      </c>
      <c r="D44" s="21" t="inlineStr">
        <is>
          <t>2026-02-10</t>
        </is>
      </c>
      <c r="E44" s="21" t="inlineStr">
        <is>
          <t>PLK-2026-5015</t>
        </is>
      </c>
      <c r="F44" s="21" t="inlineStr">
        <is>
          <t>Inconsistência Temporal (Cut-off)</t>
        </is>
      </c>
      <c r="G44" s="14" t="n">
        <v>441476</v>
      </c>
      <c r="H44" s="14" t="n">
        <v>39714</v>
      </c>
      <c r="I44" s="14" t="n">
        <v>401762</v>
      </c>
      <c r="J44" s="8" t="inlineStr">
        <is>
          <t>Data de aquisição posticipada para 2026 lançada em 2025</t>
        </is>
      </c>
    </row>
    <row r="45">
      <c r="B45" s="18" t="inlineStr">
        <is>
          <t>IMOB-203552</t>
        </is>
      </c>
      <c r="C45" s="19" t="inlineStr">
        <is>
          <t>Secadora de Celulose 02 Futuro #16</t>
        </is>
      </c>
      <c r="D45" s="18" t="inlineStr">
        <is>
          <t>2026-02-11</t>
        </is>
      </c>
      <c r="E45" s="18" t="inlineStr">
        <is>
          <t>PLK-2026-5016</t>
        </is>
      </c>
      <c r="F45" s="18" t="inlineStr">
        <is>
          <t>Inconsistência Temporal (Cut-off)</t>
        </is>
      </c>
      <c r="G45" s="20" t="n">
        <v>532554</v>
      </c>
      <c r="H45" s="20" t="n">
        <v>20659</v>
      </c>
      <c r="I45" s="20" t="n">
        <v>511895</v>
      </c>
      <c r="J45" s="19" t="inlineStr">
        <is>
          <t>Data de aquisição posticipada para 2026 lançada em 2025</t>
        </is>
      </c>
    </row>
    <row r="46">
      <c r="B46" s="21" t="inlineStr">
        <is>
          <t>IMOB-203774</t>
        </is>
      </c>
      <c r="C46" s="8" t="inlineStr">
        <is>
          <t>Trator Florestal Forwarder Futuro #17</t>
        </is>
      </c>
      <c r="D46" s="21" t="inlineStr">
        <is>
          <t>2026-02-12</t>
        </is>
      </c>
      <c r="E46" s="21" t="inlineStr">
        <is>
          <t>PLK-2026-5017</t>
        </is>
      </c>
      <c r="F46" s="21" t="inlineStr">
        <is>
          <t>Inconsistência Temporal (Cut-off)</t>
        </is>
      </c>
      <c r="G46" s="14" t="n">
        <v>522528</v>
      </c>
      <c r="H46" s="14" t="n">
        <v>23730</v>
      </c>
      <c r="I46" s="14" t="n">
        <v>498798</v>
      </c>
      <c r="J46" s="8" t="inlineStr">
        <is>
          <t>Data de aquisição posticipada para 2026 lançada em 2025</t>
        </is>
      </c>
    </row>
    <row r="47">
      <c r="B47" s="18" t="inlineStr">
        <is>
          <t>IMOB-203996</t>
        </is>
      </c>
      <c r="C47" s="19" t="inlineStr">
        <is>
          <t>Secadora de Celulose 02 Futuro #18</t>
        </is>
      </c>
      <c r="D47" s="18" t="inlineStr">
        <is>
          <t>2026-02-13</t>
        </is>
      </c>
      <c r="E47" s="18" t="inlineStr">
        <is>
          <t>PLK-2026-5018</t>
        </is>
      </c>
      <c r="F47" s="18" t="inlineStr">
        <is>
          <t>Inconsistência Temporal (Cut-off)</t>
        </is>
      </c>
      <c r="G47" s="20" t="n">
        <v>429946</v>
      </c>
      <c r="H47" s="20" t="n">
        <v>14679</v>
      </c>
      <c r="I47" s="20" t="n">
        <v>415267</v>
      </c>
      <c r="J47" s="19" t="inlineStr">
        <is>
          <t>Data de aquisição posticipada para 2026 lançada em 2025</t>
        </is>
      </c>
    </row>
    <row r="48">
      <c r="B48" s="21" t="inlineStr">
        <is>
          <t>IMOB-204218</t>
        </is>
      </c>
      <c r="C48" s="8" t="inlineStr">
        <is>
          <t>Tubulação de Efluentes Unidade Puma Futuro #19</t>
        </is>
      </c>
      <c r="D48" s="21" t="inlineStr">
        <is>
          <t>2026-02-14</t>
        </is>
      </c>
      <c r="E48" s="21" t="inlineStr">
        <is>
          <t>PLK-2026-5019</t>
        </is>
      </c>
      <c r="F48" s="21" t="inlineStr">
        <is>
          <t>Inconsistência Temporal (Cut-off)</t>
        </is>
      </c>
      <c r="G48" s="14" t="n">
        <v>329451</v>
      </c>
      <c r="H48" s="14" t="n">
        <v>45005</v>
      </c>
      <c r="I48" s="14" t="n">
        <v>284446</v>
      </c>
      <c r="J48" s="8" t="inlineStr">
        <is>
          <t>Data de aquisição posticipada para 2026 lançada em 2025</t>
        </is>
      </c>
    </row>
    <row r="49">
      <c r="B49" s="18" t="inlineStr">
        <is>
          <t>IMOB-204440</t>
        </is>
      </c>
      <c r="C49" s="19" t="inlineStr">
        <is>
          <t>Empilhadeira Elétrica Hyster Futuro #20</t>
        </is>
      </c>
      <c r="D49" s="18" t="inlineStr">
        <is>
          <t>2026-02-15</t>
        </is>
      </c>
      <c r="E49" s="18" t="inlineStr">
        <is>
          <t>PLK-2026-5020</t>
        </is>
      </c>
      <c r="F49" s="18" t="inlineStr">
        <is>
          <t>Inconsistência Temporal (Cut-off)</t>
        </is>
      </c>
      <c r="G49" s="20" t="n">
        <v>406702</v>
      </c>
      <c r="H49" s="20" t="n">
        <v>20708</v>
      </c>
      <c r="I49" s="20" t="n">
        <v>385994</v>
      </c>
      <c r="J49" s="19" t="inlineStr">
        <is>
          <t>Data de aquisição posticipada para 2026 lançada em 2025</t>
        </is>
      </c>
    </row>
    <row r="50">
      <c r="B50" s="21" t="inlineStr">
        <is>
          <t>IMOB-204662</t>
        </is>
      </c>
      <c r="C50" s="8" t="inlineStr">
        <is>
          <t>Bobinadeira Industrial Futuro #21</t>
        </is>
      </c>
      <c r="D50" s="21" t="inlineStr">
        <is>
          <t>2026-02-16</t>
        </is>
      </c>
      <c r="E50" s="21" t="inlineStr">
        <is>
          <t>PLK-2026-5021</t>
        </is>
      </c>
      <c r="F50" s="21" t="inlineStr">
        <is>
          <t>Inconsistência Temporal (Cut-off)</t>
        </is>
      </c>
      <c r="G50" s="14" t="n">
        <v>547887</v>
      </c>
      <c r="H50" s="14" t="n">
        <v>27691</v>
      </c>
      <c r="I50" s="14" t="n">
        <v>520196</v>
      </c>
      <c r="J50" s="8" t="inlineStr">
        <is>
          <t>Data de aquisição posticipada para 2026 lançada em 2025</t>
        </is>
      </c>
    </row>
    <row r="51">
      <c r="B51" s="18" t="inlineStr">
        <is>
          <t>IMOB-204884</t>
        </is>
      </c>
      <c r="C51" s="19" t="inlineStr">
        <is>
          <t>Secadora de Celulose 02 Futuro #22</t>
        </is>
      </c>
      <c r="D51" s="18" t="inlineStr">
        <is>
          <t>2026-02-17</t>
        </is>
      </c>
      <c r="E51" s="18" t="inlineStr">
        <is>
          <t>PLK-2026-5022</t>
        </is>
      </c>
      <c r="F51" s="18" t="inlineStr">
        <is>
          <t>Inconsistência Temporal (Cut-off)</t>
        </is>
      </c>
      <c r="G51" s="20" t="n">
        <v>734004</v>
      </c>
      <c r="H51" s="20" t="n">
        <v>24392</v>
      </c>
      <c r="I51" s="20" t="n">
        <v>709612</v>
      </c>
      <c r="J51" s="19" t="inlineStr">
        <is>
          <t>Data de aquisição posticipada para 2026 lançada em 2025</t>
        </is>
      </c>
    </row>
    <row r="52">
      <c r="B52" s="21" t="inlineStr">
        <is>
          <t>IMOB-205106</t>
        </is>
      </c>
      <c r="C52" s="8" t="inlineStr">
        <is>
          <t>Secadora de Celulose 02 Futuro #23</t>
        </is>
      </c>
      <c r="D52" s="21" t="inlineStr">
        <is>
          <t>2026-02-18</t>
        </is>
      </c>
      <c r="E52" s="21" t="inlineStr">
        <is>
          <t>PLK-2026-5023</t>
        </is>
      </c>
      <c r="F52" s="21" t="inlineStr">
        <is>
          <t>Inconsistência Temporal (Cut-off)</t>
        </is>
      </c>
      <c r="G52" s="14" t="n">
        <v>490035</v>
      </c>
      <c r="H52" s="14" t="n">
        <v>13665</v>
      </c>
      <c r="I52" s="14" t="n">
        <v>476370</v>
      </c>
      <c r="J52" s="8" t="inlineStr">
        <is>
          <t>Data de aquisição posticipada para 2026 lançada em 2025</t>
        </is>
      </c>
    </row>
    <row r="53">
      <c r="B53" s="18" t="inlineStr">
        <is>
          <t>IMOB-205328</t>
        </is>
      </c>
      <c r="C53" s="19" t="inlineStr">
        <is>
          <t>Caldeira de Recuperação A Futuro #24</t>
        </is>
      </c>
      <c r="D53" s="18" t="inlineStr">
        <is>
          <t>2026-02-19</t>
        </is>
      </c>
      <c r="E53" s="18" t="inlineStr">
        <is>
          <t>PLK-2026-5024</t>
        </is>
      </c>
      <c r="F53" s="18" t="inlineStr">
        <is>
          <t>Inconsistência Temporal (Cut-off)</t>
        </is>
      </c>
      <c r="G53" s="20" t="n">
        <v>183659</v>
      </c>
      <c r="H53" s="20" t="n">
        <v>30673</v>
      </c>
      <c r="I53" s="20" t="n">
        <v>152986</v>
      </c>
      <c r="J53" s="19" t="inlineStr">
        <is>
          <t>Data de aquisição posticipada para 2026 lançada em 2025</t>
        </is>
      </c>
    </row>
    <row r="54">
      <c r="B54" s="21" t="inlineStr">
        <is>
          <t>IMOB-205550</t>
        </is>
      </c>
      <c r="C54" s="8" t="inlineStr">
        <is>
          <t>Pá Carregadeira Volvo Futuro #25</t>
        </is>
      </c>
      <c r="D54" s="21" t="inlineStr">
        <is>
          <t>2026-02-20</t>
        </is>
      </c>
      <c r="E54" s="21" t="inlineStr">
        <is>
          <t>PLK-2026-5025</t>
        </is>
      </c>
      <c r="F54" s="21" t="inlineStr">
        <is>
          <t>Inconsistência Temporal (Cut-off)</t>
        </is>
      </c>
      <c r="G54" s="14" t="n">
        <v>430746</v>
      </c>
      <c r="H54" s="14" t="n">
        <v>14337</v>
      </c>
      <c r="I54" s="14" t="n">
        <v>416409</v>
      </c>
      <c r="J54" s="8" t="inlineStr">
        <is>
          <t>Data de aquisição posticipada para 2026 lançada em 2025</t>
        </is>
      </c>
    </row>
    <row r="55">
      <c r="B55" s="18" t="inlineStr">
        <is>
          <t>IMOB-205772</t>
        </is>
      </c>
      <c r="C55" s="19" t="inlineStr">
        <is>
          <t>Caldeira de Recuperação A Futuro #26</t>
        </is>
      </c>
      <c r="D55" s="18" t="inlineStr">
        <is>
          <t>2026-02-21</t>
        </is>
      </c>
      <c r="E55" s="18" t="inlineStr">
        <is>
          <t>PLK-2026-5026</t>
        </is>
      </c>
      <c r="F55" s="18" t="inlineStr">
        <is>
          <t>Inconsistência Temporal (Cut-off)</t>
        </is>
      </c>
      <c r="G55" s="20" t="n">
        <v>744731</v>
      </c>
      <c r="H55" s="20" t="n">
        <v>30622</v>
      </c>
      <c r="I55" s="20" t="n">
        <v>714109</v>
      </c>
      <c r="J55" s="19" t="inlineStr">
        <is>
          <t>Data de aquisição posticipada para 2026 lançada em 2025</t>
        </is>
      </c>
    </row>
    <row r="56">
      <c r="B56" s="21" t="inlineStr">
        <is>
          <t>IMOB-205994</t>
        </is>
      </c>
      <c r="C56" s="8" t="inlineStr">
        <is>
          <t>Caldeira de Recuperação A Futuro #27</t>
        </is>
      </c>
      <c r="D56" s="21" t="inlineStr">
        <is>
          <t>2026-02-22</t>
        </is>
      </c>
      <c r="E56" s="21" t="inlineStr">
        <is>
          <t>PLK-2026-5027</t>
        </is>
      </c>
      <c r="F56" s="21" t="inlineStr">
        <is>
          <t>Inconsistência Temporal (Cut-off)</t>
        </is>
      </c>
      <c r="G56" s="14" t="n">
        <v>673481</v>
      </c>
      <c r="H56" s="14" t="n">
        <v>35928</v>
      </c>
      <c r="I56" s="14" t="n">
        <v>637553</v>
      </c>
      <c r="J56" s="8" t="inlineStr">
        <is>
          <t>Data de aquisição posticipada para 2026 lançada em 2025</t>
        </is>
      </c>
    </row>
    <row r="57">
      <c r="B57" s="18" t="inlineStr">
        <is>
          <t>IMOB-206216</t>
        </is>
      </c>
      <c r="C57" s="19" t="inlineStr">
        <is>
          <t>Secadora de Celulose 02 Futuro #28</t>
        </is>
      </c>
      <c r="D57" s="18" t="inlineStr">
        <is>
          <t>2026-02-23</t>
        </is>
      </c>
      <c r="E57" s="18" t="inlineStr">
        <is>
          <t>PLK-2026-5028</t>
        </is>
      </c>
      <c r="F57" s="18" t="inlineStr">
        <is>
          <t>Inconsistência Temporal (Cut-off)</t>
        </is>
      </c>
      <c r="G57" s="20" t="n">
        <v>631141</v>
      </c>
      <c r="H57" s="20" t="n">
        <v>19363</v>
      </c>
      <c r="I57" s="20" t="n">
        <v>611778</v>
      </c>
      <c r="J57" s="19" t="inlineStr">
        <is>
          <t>Data de aquisição posticipada para 2026 lançada em 2025</t>
        </is>
      </c>
    </row>
    <row r="58">
      <c r="B58" s="21" t="inlineStr">
        <is>
          <t>IMOB-206438</t>
        </is>
      </c>
      <c r="C58" s="8" t="inlineStr">
        <is>
          <t>Máquina de Papel MP-27 Futuro #29</t>
        </is>
      </c>
      <c r="D58" s="21" t="inlineStr">
        <is>
          <t>2026-02-24</t>
        </is>
      </c>
      <c r="E58" s="21" t="inlineStr">
        <is>
          <t>PLK-2026-5029</t>
        </is>
      </c>
      <c r="F58" s="21" t="inlineStr">
        <is>
          <t>Inconsistência Temporal (Cut-off)</t>
        </is>
      </c>
      <c r="G58" s="14" t="n">
        <v>296413</v>
      </c>
      <c r="H58" s="14" t="n">
        <v>26162</v>
      </c>
      <c r="I58" s="14" t="n">
        <v>270251</v>
      </c>
      <c r="J58" s="8" t="inlineStr">
        <is>
          <t>Data de aquisição posticipada para 2026 lançada em 2025</t>
        </is>
      </c>
    </row>
    <row r="59">
      <c r="B59" s="18" t="inlineStr">
        <is>
          <t>IMOB-206660</t>
        </is>
      </c>
      <c r="C59" s="19" t="inlineStr">
        <is>
          <t>Empilhadeira Elétrica Hyster Futuro #30</t>
        </is>
      </c>
      <c r="D59" s="18" t="inlineStr">
        <is>
          <t>2026-02-10</t>
        </is>
      </c>
      <c r="E59" s="18" t="inlineStr">
        <is>
          <t>PLK-2026-5030</t>
        </is>
      </c>
      <c r="F59" s="18" t="inlineStr">
        <is>
          <t>Inconsistência Temporal (Cut-off)</t>
        </is>
      </c>
      <c r="G59" s="20" t="n">
        <v>738637</v>
      </c>
      <c r="H59" s="20" t="n">
        <v>45322</v>
      </c>
      <c r="I59" s="20" t="n">
        <v>693315</v>
      </c>
      <c r="J59" s="19" t="inlineStr">
        <is>
          <t>Data de aquisição posticipada para 2026 lançada em 2025</t>
        </is>
      </c>
    </row>
    <row r="60">
      <c r="B60" s="21" t="inlineStr">
        <is>
          <t>IMOB-206882</t>
        </is>
      </c>
      <c r="C60" s="8" t="inlineStr">
        <is>
          <t>Máquina de Papel MP-27 Futuro #31</t>
        </is>
      </c>
      <c r="D60" s="21" t="inlineStr">
        <is>
          <t>2026-02-11</t>
        </is>
      </c>
      <c r="E60" s="21" t="inlineStr">
        <is>
          <t>PLK-2026-5031</t>
        </is>
      </c>
      <c r="F60" s="21" t="inlineStr">
        <is>
          <t>Inconsistência Temporal (Cut-off)</t>
        </is>
      </c>
      <c r="G60" s="14" t="n">
        <v>762982</v>
      </c>
      <c r="H60" s="14" t="n">
        <v>38077</v>
      </c>
      <c r="I60" s="14" t="n">
        <v>724905</v>
      </c>
      <c r="J60" s="8" t="inlineStr">
        <is>
          <t>Data de aquisição posticipada para 2026 lançada em 2025</t>
        </is>
      </c>
    </row>
    <row r="61">
      <c r="B61" s="18" t="inlineStr">
        <is>
          <t>IMOB-207104</t>
        </is>
      </c>
      <c r="C61" s="19" t="inlineStr">
        <is>
          <t>Tubulação de Efluentes Unidade Puma Futuro #32</t>
        </is>
      </c>
      <c r="D61" s="18" t="inlineStr">
        <is>
          <t>2026-02-12</t>
        </is>
      </c>
      <c r="E61" s="18" t="inlineStr">
        <is>
          <t>PLK-2026-5032</t>
        </is>
      </c>
      <c r="F61" s="18" t="inlineStr">
        <is>
          <t>Inconsistência Temporal (Cut-off)</t>
        </is>
      </c>
      <c r="G61" s="20" t="n">
        <v>568801</v>
      </c>
      <c r="H61" s="20" t="n">
        <v>33723</v>
      </c>
      <c r="I61" s="20" t="n">
        <v>535078</v>
      </c>
      <c r="J61" s="19" t="inlineStr">
        <is>
          <t>Data de aquisição posticipada para 2026 lançada em 2025</t>
        </is>
      </c>
    </row>
    <row r="62">
      <c r="B62" s="21" t="inlineStr">
        <is>
          <t>IMOB-207326</t>
        </is>
      </c>
      <c r="C62" s="8" t="inlineStr">
        <is>
          <t>Caldeira de Recuperação A Futuro #33</t>
        </is>
      </c>
      <c r="D62" s="21" t="inlineStr">
        <is>
          <t>2026-02-13</t>
        </is>
      </c>
      <c r="E62" s="21" t="inlineStr">
        <is>
          <t>PLK-2026-5033</t>
        </is>
      </c>
      <c r="F62" s="21" t="inlineStr">
        <is>
          <t>Inconsistência Temporal (Cut-off)</t>
        </is>
      </c>
      <c r="G62" s="14" t="n">
        <v>295051</v>
      </c>
      <c r="H62" s="14" t="n">
        <v>43392</v>
      </c>
      <c r="I62" s="14" t="n">
        <v>251659</v>
      </c>
      <c r="J62" s="8" t="inlineStr">
        <is>
          <t>Data de aquisição posticipada para 2026 lançada em 2025</t>
        </is>
      </c>
    </row>
    <row r="63">
      <c r="B63" s="18" t="inlineStr">
        <is>
          <t>IMOB-207548</t>
        </is>
      </c>
      <c r="C63" s="19" t="inlineStr">
        <is>
          <t>Bobinadeira Industrial Futuro #34</t>
        </is>
      </c>
      <c r="D63" s="18" t="inlineStr">
        <is>
          <t>2026-02-14</t>
        </is>
      </c>
      <c r="E63" s="18" t="inlineStr">
        <is>
          <t>PLK-2026-5034</t>
        </is>
      </c>
      <c r="F63" s="18" t="inlineStr">
        <is>
          <t>Inconsistência Temporal (Cut-off)</t>
        </is>
      </c>
      <c r="G63" s="20" t="n">
        <v>245325</v>
      </c>
      <c r="H63" s="20" t="n">
        <v>13087</v>
      </c>
      <c r="I63" s="20" t="n">
        <v>232238</v>
      </c>
      <c r="J63" s="19" t="inlineStr">
        <is>
          <t>Data de aquisição posticipada para 2026 lançada em 2025</t>
        </is>
      </c>
    </row>
    <row r="64">
      <c r="B64" s="21" t="inlineStr">
        <is>
          <t>IMOB-207770</t>
        </is>
      </c>
      <c r="C64" s="8" t="inlineStr">
        <is>
          <t>Silo de Cavacos Fabril Futuro #35</t>
        </is>
      </c>
      <c r="D64" s="21" t="inlineStr">
        <is>
          <t>2026-02-15</t>
        </is>
      </c>
      <c r="E64" s="21" t="inlineStr">
        <is>
          <t>PLK-2026-5035</t>
        </is>
      </c>
      <c r="F64" s="21" t="inlineStr">
        <is>
          <t>Inconsistência Temporal (Cut-off)</t>
        </is>
      </c>
      <c r="G64" s="14" t="n">
        <v>310265</v>
      </c>
      <c r="H64" s="14" t="n">
        <v>20484</v>
      </c>
      <c r="I64" s="14" t="n">
        <v>289781</v>
      </c>
      <c r="J64" s="8" t="inlineStr">
        <is>
          <t>Data de aquisição posticipada para 2026 lançada em 2025</t>
        </is>
      </c>
    </row>
    <row r="65">
      <c r="B65" s="18" t="inlineStr">
        <is>
          <t>IMOB-207992</t>
        </is>
      </c>
      <c r="C65" s="19" t="inlineStr">
        <is>
          <t>Secadora de Celulose 02 Futuro #36</t>
        </is>
      </c>
      <c r="D65" s="18" t="inlineStr">
        <is>
          <t>2026-02-16</t>
        </is>
      </c>
      <c r="E65" s="18" t="inlineStr">
        <is>
          <t>PLK-2026-5036</t>
        </is>
      </c>
      <c r="F65" s="18" t="inlineStr">
        <is>
          <t>Inconsistência Temporal (Cut-off)</t>
        </is>
      </c>
      <c r="G65" s="20" t="n">
        <v>592666</v>
      </c>
      <c r="H65" s="20" t="n">
        <v>49086</v>
      </c>
      <c r="I65" s="20" t="n">
        <v>543580</v>
      </c>
      <c r="J65" s="19" t="inlineStr">
        <is>
          <t>Data de aquisição posticipada para 2026 lançada em 2025</t>
        </is>
      </c>
    </row>
    <row r="66">
      <c r="B66" s="21" t="inlineStr">
        <is>
          <t>IMOB-208214</t>
        </is>
      </c>
      <c r="C66" s="8" t="inlineStr">
        <is>
          <t>Silo de Cavacos Fabril Futuro #37</t>
        </is>
      </c>
      <c r="D66" s="21" t="inlineStr">
        <is>
          <t>2026-02-17</t>
        </is>
      </c>
      <c r="E66" s="21" t="inlineStr">
        <is>
          <t>PLK-2026-5037</t>
        </is>
      </c>
      <c r="F66" s="21" t="inlineStr">
        <is>
          <t>Inconsistência Temporal (Cut-off)</t>
        </is>
      </c>
      <c r="G66" s="14" t="n">
        <v>553457</v>
      </c>
      <c r="H66" s="14" t="n">
        <v>35009</v>
      </c>
      <c r="I66" s="14" t="n">
        <v>518448</v>
      </c>
      <c r="J66" s="8" t="inlineStr">
        <is>
          <t>Data de aquisição posticipada para 2026 lançada em 2025</t>
        </is>
      </c>
    </row>
    <row r="67">
      <c r="B67" s="18" t="inlineStr">
        <is>
          <t>IMOB-208436</t>
        </is>
      </c>
      <c r="C67" s="19" t="inlineStr">
        <is>
          <t>Tubulação de Efluentes Unidade Puma Futuro #38</t>
        </is>
      </c>
      <c r="D67" s="18" t="inlineStr">
        <is>
          <t>2026-02-18</t>
        </is>
      </c>
      <c r="E67" s="18" t="inlineStr">
        <is>
          <t>PLK-2026-5038</t>
        </is>
      </c>
      <c r="F67" s="18" t="inlineStr">
        <is>
          <t>Inconsistência Temporal (Cut-off)</t>
        </is>
      </c>
      <c r="G67" s="20" t="n">
        <v>640785</v>
      </c>
      <c r="H67" s="20" t="n">
        <v>44676</v>
      </c>
      <c r="I67" s="20" t="n">
        <v>596109</v>
      </c>
      <c r="J67" s="19" t="inlineStr">
        <is>
          <t>Data de aquisição posticipada para 2026 lançada em 2025</t>
        </is>
      </c>
    </row>
    <row r="68">
      <c r="B68" s="21" t="inlineStr">
        <is>
          <t>IMOB-208658</t>
        </is>
      </c>
      <c r="C68" s="8" t="inlineStr">
        <is>
          <t>Máquina de Papel MP-27 Futuro #39</t>
        </is>
      </c>
      <c r="D68" s="21" t="inlineStr">
        <is>
          <t>2026-02-19</t>
        </is>
      </c>
      <c r="E68" s="21" t="inlineStr">
        <is>
          <t>PLK-2026-5039</t>
        </is>
      </c>
      <c r="F68" s="21" t="inlineStr">
        <is>
          <t>Inconsistência Temporal (Cut-off)</t>
        </is>
      </c>
      <c r="G68" s="14" t="n">
        <v>730099</v>
      </c>
      <c r="H68" s="14" t="n">
        <v>10752</v>
      </c>
      <c r="I68" s="14" t="n">
        <v>719347</v>
      </c>
      <c r="J68" s="8" t="inlineStr">
        <is>
          <t>Data de aquisição posticipada para 2026 lançada em 2025</t>
        </is>
      </c>
    </row>
    <row r="69">
      <c r="B69" s="18" t="inlineStr">
        <is>
          <t>IMOB-208880</t>
        </is>
      </c>
      <c r="C69" s="19" t="inlineStr">
        <is>
          <t>Secadora de Celulose 02 Futuro #40</t>
        </is>
      </c>
      <c r="D69" s="18" t="inlineStr">
        <is>
          <t>2026-02-20</t>
        </is>
      </c>
      <c r="E69" s="18" t="inlineStr">
        <is>
          <t>PLK-2026-5040</t>
        </is>
      </c>
      <c r="F69" s="18" t="inlineStr">
        <is>
          <t>Inconsistência Temporal (Cut-off)</t>
        </is>
      </c>
      <c r="G69" s="20" t="n">
        <v>270116</v>
      </c>
      <c r="H69" s="20" t="n">
        <v>45190</v>
      </c>
      <c r="I69" s="20" t="n">
        <v>224926</v>
      </c>
      <c r="J69" s="19" t="inlineStr">
        <is>
          <t>Data de aquisição posticipada para 2026 lançada em 2025</t>
        </is>
      </c>
    </row>
    <row r="70">
      <c r="B70" s="21" t="inlineStr">
        <is>
          <t>IMOB-300333</t>
        </is>
      </c>
      <c r="C70" s="8" t="inlineStr">
        <is>
          <t>Máquina de Papel MP-27 Duplicado #1</t>
        </is>
      </c>
      <c r="D70" s="21" t="inlineStr">
        <is>
          <t>2025-08-20</t>
        </is>
      </c>
      <c r="E70" s="21" t="inlineStr">
        <is>
          <t>PLK-DUP-9901</t>
        </is>
      </c>
      <c r="F70" s="21" t="inlineStr">
        <is>
          <t>Duplicidade de Cadastro</t>
        </is>
      </c>
      <c r="G70" s="14" t="n">
        <v>378349</v>
      </c>
      <c r="H70" s="14" t="n">
        <v>27310</v>
      </c>
      <c r="I70" s="14" t="n">
        <v>351039</v>
      </c>
      <c r="J70" s="8" t="inlineStr">
        <is>
          <t>Plaqueta de tombo duplicada no cadastro de imobilizado</t>
        </is>
      </c>
    </row>
    <row r="71">
      <c r="B71" s="18" t="inlineStr">
        <is>
          <t>IMOB-300666</t>
        </is>
      </c>
      <c r="C71" s="19" t="inlineStr">
        <is>
          <t>Máquina de Papel MP-27 Duplicado #2</t>
        </is>
      </c>
      <c r="D71" s="18" t="inlineStr">
        <is>
          <t>2025-08-20</t>
        </is>
      </c>
      <c r="E71" s="18" t="inlineStr">
        <is>
          <t>PLK-DUP-9902</t>
        </is>
      </c>
      <c r="F71" s="18" t="inlineStr">
        <is>
          <t>Duplicidade de Cadastro</t>
        </is>
      </c>
      <c r="G71" s="20" t="n">
        <v>427942</v>
      </c>
      <c r="H71" s="20" t="n">
        <v>30365</v>
      </c>
      <c r="I71" s="20" t="n">
        <v>397577</v>
      </c>
      <c r="J71" s="19" t="inlineStr">
        <is>
          <t>Plaqueta de tombo duplicada no cadastro de imobilizado</t>
        </is>
      </c>
    </row>
    <row r="72">
      <c r="B72" s="21" t="inlineStr">
        <is>
          <t>IMOB-300999</t>
        </is>
      </c>
      <c r="C72" s="8" t="inlineStr">
        <is>
          <t>Bobinadeira Industrial Duplicado #3</t>
        </is>
      </c>
      <c r="D72" s="21" t="inlineStr">
        <is>
          <t>2025-08-20</t>
        </is>
      </c>
      <c r="E72" s="21" t="inlineStr">
        <is>
          <t>PLK-DUP-9903</t>
        </is>
      </c>
      <c r="F72" s="21" t="inlineStr">
        <is>
          <t>Duplicidade de Cadastro</t>
        </is>
      </c>
      <c r="G72" s="14" t="n">
        <v>201701</v>
      </c>
      <c r="H72" s="14" t="n">
        <v>37261</v>
      </c>
      <c r="I72" s="14" t="n">
        <v>164440</v>
      </c>
      <c r="J72" s="8" t="inlineStr">
        <is>
          <t>Plaqueta de tombo duplicada no cadastro de imobilizado</t>
        </is>
      </c>
    </row>
    <row r="73">
      <c r="B73" s="18" t="inlineStr">
        <is>
          <t>IMOB-301332</t>
        </is>
      </c>
      <c r="C73" s="19" t="inlineStr">
        <is>
          <t>Prensa de Garrafas e Caixas Duplicado #4</t>
        </is>
      </c>
      <c r="D73" s="18" t="inlineStr">
        <is>
          <t>2025-08-20</t>
        </is>
      </c>
      <c r="E73" s="18" t="inlineStr">
        <is>
          <t>PLK-DUP-9904</t>
        </is>
      </c>
      <c r="F73" s="18" t="inlineStr">
        <is>
          <t>Duplicidade de Cadastro</t>
        </is>
      </c>
      <c r="G73" s="20" t="n">
        <v>293665</v>
      </c>
      <c r="H73" s="20" t="n">
        <v>53271</v>
      </c>
      <c r="I73" s="20" t="n">
        <v>240394</v>
      </c>
      <c r="J73" s="19" t="inlineStr">
        <is>
          <t>Plaqueta de tombo duplicada no cadastro de imobilizado</t>
        </is>
      </c>
    </row>
    <row r="74">
      <c r="B74" s="21" t="inlineStr">
        <is>
          <t>IMOB-301665</t>
        </is>
      </c>
      <c r="C74" s="8" t="inlineStr">
        <is>
          <t>Silo de Cavacos Fabril Duplicado #5</t>
        </is>
      </c>
      <c r="D74" s="21" t="inlineStr">
        <is>
          <t>2025-08-20</t>
        </is>
      </c>
      <c r="E74" s="21" t="inlineStr">
        <is>
          <t>PLK-DUP-9905</t>
        </is>
      </c>
      <c r="F74" s="21" t="inlineStr">
        <is>
          <t>Duplicidade de Cadastro</t>
        </is>
      </c>
      <c r="G74" s="14" t="n">
        <v>356471</v>
      </c>
      <c r="H74" s="14" t="n">
        <v>53270</v>
      </c>
      <c r="I74" s="14" t="n">
        <v>303201</v>
      </c>
      <c r="J74" s="8" t="inlineStr">
        <is>
          <t>Plaqueta de tombo duplicada no cadastro de imobilizado</t>
        </is>
      </c>
    </row>
    <row r="75">
      <c r="B75" s="18" t="inlineStr">
        <is>
          <t>IMOB-301998</t>
        </is>
      </c>
      <c r="C75" s="19" t="inlineStr">
        <is>
          <t>Tubulação de Efluentes Unidade Puma Duplicado #6</t>
        </is>
      </c>
      <c r="D75" s="18" t="inlineStr">
        <is>
          <t>2025-08-20</t>
        </is>
      </c>
      <c r="E75" s="18" t="inlineStr">
        <is>
          <t>PLK-DUP-9906</t>
        </is>
      </c>
      <c r="F75" s="18" t="inlineStr">
        <is>
          <t>Duplicidade de Cadastro</t>
        </is>
      </c>
      <c r="G75" s="20" t="n">
        <v>304286</v>
      </c>
      <c r="H75" s="20" t="n">
        <v>30016</v>
      </c>
      <c r="I75" s="20" t="n">
        <v>274270</v>
      </c>
      <c r="J75" s="19" t="inlineStr">
        <is>
          <t>Plaqueta de tombo duplicada no cadastro de imobilizado</t>
        </is>
      </c>
    </row>
    <row r="76">
      <c r="B76" s="21" t="inlineStr">
        <is>
          <t>IMOB-302331</t>
        </is>
      </c>
      <c r="C76" s="8" t="inlineStr">
        <is>
          <t>Trator Florestal Forwarder Duplicado #7</t>
        </is>
      </c>
      <c r="D76" s="21" t="inlineStr">
        <is>
          <t>2025-08-20</t>
        </is>
      </c>
      <c r="E76" s="21" t="inlineStr">
        <is>
          <t>PLK-DUP-9907</t>
        </is>
      </c>
      <c r="F76" s="21" t="inlineStr">
        <is>
          <t>Duplicidade de Cadastro</t>
        </is>
      </c>
      <c r="G76" s="14" t="n">
        <v>284698</v>
      </c>
      <c r="H76" s="14" t="n">
        <v>55348</v>
      </c>
      <c r="I76" s="14" t="n">
        <v>229350</v>
      </c>
      <c r="J76" s="8" t="inlineStr">
        <is>
          <t>Plaqueta de tombo duplicada no cadastro de imobilizado</t>
        </is>
      </c>
    </row>
    <row r="77">
      <c r="B77" s="18" t="inlineStr">
        <is>
          <t>IMOB-302664</t>
        </is>
      </c>
      <c r="C77" s="19" t="inlineStr">
        <is>
          <t>Prensa de Garrafas e Caixas Duplicado #8</t>
        </is>
      </c>
      <c r="D77" s="18" t="inlineStr">
        <is>
          <t>2025-08-20</t>
        </is>
      </c>
      <c r="E77" s="18" t="inlineStr">
        <is>
          <t>PLK-DUP-9908</t>
        </is>
      </c>
      <c r="F77" s="18" t="inlineStr">
        <is>
          <t>Duplicidade de Cadastro</t>
        </is>
      </c>
      <c r="G77" s="20" t="n">
        <v>200299</v>
      </c>
      <c r="H77" s="20" t="n">
        <v>59252</v>
      </c>
      <c r="I77" s="20" t="n">
        <v>141047</v>
      </c>
      <c r="J77" s="19" t="inlineStr">
        <is>
          <t>Plaqueta de tombo duplicada no cadastro de imobilizado</t>
        </is>
      </c>
    </row>
    <row r="78">
      <c r="B78" s="21" t="inlineStr">
        <is>
          <t>IMOB-302997</t>
        </is>
      </c>
      <c r="C78" s="8" t="inlineStr">
        <is>
          <t>Trator Florestal Forwarder Duplicado #9</t>
        </is>
      </c>
      <c r="D78" s="21" t="inlineStr">
        <is>
          <t>2025-08-20</t>
        </is>
      </c>
      <c r="E78" s="21" t="inlineStr">
        <is>
          <t>PLK-DUP-9909</t>
        </is>
      </c>
      <c r="F78" s="21" t="inlineStr">
        <is>
          <t>Duplicidade de Cadastro</t>
        </is>
      </c>
      <c r="G78" s="14" t="n">
        <v>456170</v>
      </c>
      <c r="H78" s="14" t="n">
        <v>21276</v>
      </c>
      <c r="I78" s="14" t="n">
        <v>434894</v>
      </c>
      <c r="J78" s="8" t="inlineStr">
        <is>
          <t>Plaqueta de tombo duplicada no cadastro de imobilizado</t>
        </is>
      </c>
    </row>
    <row r="79">
      <c r="B79" s="18" t="inlineStr">
        <is>
          <t>IMOB-303330</t>
        </is>
      </c>
      <c r="C79" s="19" t="inlineStr">
        <is>
          <t>Silo de Cavacos Fabril Duplicado #10</t>
        </is>
      </c>
      <c r="D79" s="18" t="inlineStr">
        <is>
          <t>2025-08-20</t>
        </is>
      </c>
      <c r="E79" s="18" t="inlineStr">
        <is>
          <t>PLK-DUP-9910</t>
        </is>
      </c>
      <c r="F79" s="18" t="inlineStr">
        <is>
          <t>Duplicidade de Cadastro</t>
        </is>
      </c>
      <c r="G79" s="20" t="n">
        <v>390306</v>
      </c>
      <c r="H79" s="20" t="n">
        <v>40153</v>
      </c>
      <c r="I79" s="20" t="n">
        <v>350153</v>
      </c>
      <c r="J79" s="19" t="inlineStr">
        <is>
          <t>Plaqueta de tombo duplicada no cadastro de imobilizado</t>
        </is>
      </c>
    </row>
    <row r="80">
      <c r="B80" s="21" t="inlineStr">
        <is>
          <t>IMOB-303663</t>
        </is>
      </c>
      <c r="C80" s="8" t="inlineStr">
        <is>
          <t>Caldeira de Recuperação A Duplicado #11</t>
        </is>
      </c>
      <c r="D80" s="21" t="inlineStr">
        <is>
          <t>2025-08-20</t>
        </is>
      </c>
      <c r="E80" s="21" t="inlineStr">
        <is>
          <t>PLK-DUP-9911</t>
        </is>
      </c>
      <c r="F80" s="21" t="inlineStr">
        <is>
          <t>Duplicidade de Cadastro</t>
        </is>
      </c>
      <c r="G80" s="14" t="n">
        <v>230369</v>
      </c>
      <c r="H80" s="14" t="n">
        <v>35785</v>
      </c>
      <c r="I80" s="14" t="n">
        <v>194584</v>
      </c>
      <c r="J80" s="8" t="inlineStr">
        <is>
          <t>Plaqueta de tombo duplicada no cadastro de imobilizado</t>
        </is>
      </c>
    </row>
    <row r="81">
      <c r="B81" s="18" t="inlineStr">
        <is>
          <t>IMOB-303996</t>
        </is>
      </c>
      <c r="C81" s="19" t="inlineStr">
        <is>
          <t>Tubulação de Efluentes Unidade Puma Duplicado #12</t>
        </is>
      </c>
      <c r="D81" s="18" t="inlineStr">
        <is>
          <t>2025-08-20</t>
        </is>
      </c>
      <c r="E81" s="18" t="inlineStr">
        <is>
          <t>PLK-DUP-9912</t>
        </is>
      </c>
      <c r="F81" s="18" t="inlineStr">
        <is>
          <t>Duplicidade de Cadastro</t>
        </is>
      </c>
      <c r="G81" s="20" t="n">
        <v>241291</v>
      </c>
      <c r="H81" s="20" t="n">
        <v>25613</v>
      </c>
      <c r="I81" s="20" t="n">
        <v>215678</v>
      </c>
      <c r="J81" s="19" t="inlineStr">
        <is>
          <t>Plaqueta de tombo duplicada no cadastro de imobilizado</t>
        </is>
      </c>
    </row>
    <row r="82">
      <c r="B82" s="21" t="inlineStr">
        <is>
          <t>IMOB-304329</t>
        </is>
      </c>
      <c r="C82" s="8" t="inlineStr">
        <is>
          <t>Empilhadeira Elétrica Hyster Duplicado #13</t>
        </is>
      </c>
      <c r="D82" s="21" t="inlineStr">
        <is>
          <t>2025-08-20</t>
        </is>
      </c>
      <c r="E82" s="21" t="inlineStr">
        <is>
          <t>PLK-DUP-9913</t>
        </is>
      </c>
      <c r="F82" s="21" t="inlineStr">
        <is>
          <t>Duplicidade de Cadastro</t>
        </is>
      </c>
      <c r="G82" s="14" t="n">
        <v>454798</v>
      </c>
      <c r="H82" s="14" t="n">
        <v>24535</v>
      </c>
      <c r="I82" s="14" t="n">
        <v>430263</v>
      </c>
      <c r="J82" s="8" t="inlineStr">
        <is>
          <t>Plaqueta de tombo duplicada no cadastro de imobilizado</t>
        </is>
      </c>
    </row>
    <row r="83">
      <c r="B83" s="18" t="inlineStr">
        <is>
          <t>IMOB-304662</t>
        </is>
      </c>
      <c r="C83" s="19" t="inlineStr">
        <is>
          <t>Prensa de Garrafas e Caixas Duplicado #14</t>
        </is>
      </c>
      <c r="D83" s="18" t="inlineStr">
        <is>
          <t>2025-08-20</t>
        </is>
      </c>
      <c r="E83" s="18" t="inlineStr">
        <is>
          <t>PLK-DUP-9914</t>
        </is>
      </c>
      <c r="F83" s="18" t="inlineStr">
        <is>
          <t>Duplicidade de Cadastro</t>
        </is>
      </c>
      <c r="G83" s="20" t="n">
        <v>265934</v>
      </c>
      <c r="H83" s="20" t="n">
        <v>28414</v>
      </c>
      <c r="I83" s="20" t="n">
        <v>237520</v>
      </c>
      <c r="J83" s="19" t="inlineStr">
        <is>
          <t>Plaqueta de tombo duplicada no cadastro de imobilizado</t>
        </is>
      </c>
    </row>
    <row r="84">
      <c r="B84" s="21" t="inlineStr">
        <is>
          <t>IMOB-304995</t>
        </is>
      </c>
      <c r="C84" s="8" t="inlineStr">
        <is>
          <t>Secadora de Celulose 02 Duplicado #15</t>
        </is>
      </c>
      <c r="D84" s="21" t="inlineStr">
        <is>
          <t>2025-08-20</t>
        </is>
      </c>
      <c r="E84" s="21" t="inlineStr">
        <is>
          <t>PLK-DUP-9915</t>
        </is>
      </c>
      <c r="F84" s="21" t="inlineStr">
        <is>
          <t>Duplicidade de Cadastro</t>
        </is>
      </c>
      <c r="G84" s="14" t="n">
        <v>449184</v>
      </c>
      <c r="H84" s="14" t="n">
        <v>56031</v>
      </c>
      <c r="I84" s="14" t="n">
        <v>393153</v>
      </c>
      <c r="J84" s="8" t="inlineStr">
        <is>
          <t>Plaqueta de tombo duplicada no cadastro de imobilizado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2026-10-23T18:33:53Z</dcterms:created>
  <dcterms:modified xmlns:dcterms="http://purl.org/dc/terms/" xmlns:xsi="http://www.w3.org/2001/XMLSchema-instance" xsi:type="dcterms:W3CDTF">2026-10-23T18:33:53Z</dcterms:modified>
</cp:coreProperties>
</file>