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96fcf87493a73/auditoria-klabin-2025/04_Calculos_e_Amostragem/"/>
    </mc:Choice>
  </mc:AlternateContent>
  <xr:revisionPtr revIDLastSave="8" documentId="13_ncr:1_{6C40CD40-A6B4-468C-B91C-5AE58CA4CB5B}" xr6:coauthVersionLast="47" xr6:coauthVersionMax="47" xr10:uidLastSave="{20089FAD-0D20-4BCA-825F-5A5D587FCC13}"/>
  <bookViews>
    <workbookView xWindow="-108" yWindow="-108" windowWidth="23256" windowHeight="12456" xr2:uid="{4E7EF44D-C3A6-44B7-BDE2-E6D7764BFD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l="1"/>
  <c r="B15" i="1"/>
</calcChain>
</file>

<file path=xl/sharedStrings.xml><?xml version="1.0" encoding="utf-8"?>
<sst xmlns="http://schemas.openxmlformats.org/spreadsheetml/2006/main" count="15" uniqueCount="15">
  <si>
    <t>Planilha: Cálculo de Materialidade (PT 320)</t>
  </si>
  <si>
    <t>Parâmetro Financeiro</t>
  </si>
  <si>
    <t>Valor Base (R$)</t>
  </si>
  <si>
    <t>1. Dados do Balanço (Klabin 2025)</t>
  </si>
  <si>
    <t>Receita Líquida</t>
  </si>
  <si>
    <t>Lucro Antes do IR (LAIR)</t>
  </si>
  <si>
    <t>Ativo Total</t>
  </si>
  <si>
    <t>Patrimônio Líquido</t>
  </si>
  <si>
    <t>2. Definição da Base</t>
  </si>
  <si>
    <t>Base Escolhida (LAIR)</t>
  </si>
  <si>
    <t>3. Cálculo dos Limites (A Régua)</t>
  </si>
  <si>
    <t>Materialidade Global (5%)</t>
  </si>
  <si>
    <t>Materialidade para Execução (70%)</t>
  </si>
  <si>
    <t>Limite Trivial (5%)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</si>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</sst>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"/>
      <family val="2"/>
    </font>
    <font>
      <sz val="14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justify" vertical="center" wrapText="1"/>
    </xf>
    <xf numFmtId="4" fontId="3" fillId="0" borderId="1" xfId="0" applyNumberFormat="1" applyFont="1" applyBorder="1" applyAlignment="1">
      <alignment horizontal="justify" vertical="center" wrapText="1"/>
    </xf>
    <xf numFmtId="43" fontId="2" fillId="0" borderId="1" xfId="1" applyFont="1" applyBorder="1" applyAlignment="1">
      <alignment horizontal="justify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CC43-4893-4F7C-990F-96DE1A18B02C}">
  <dimension ref="A1:B15"/>
  <sheetViews>
    <sheetView tabSelected="1" workbookViewId="0">
      <selection activeCell="E6" sqref="E6"/>
    </sheetView>
  </sheetViews>
  <sheetFormatPr defaultRowHeight="14.4" x14ac:dyDescent="0.3"/>
  <cols>
    <col min="1" max="1" width="42.5546875" bestFit="1" customWidth="1"/>
    <col min="2" max="2" width="21.77734375" bestFit="1" customWidth="1"/>
  </cols>
  <sheetData>
    <row r="1" spans="1:2" ht="33" customHeight="1" thickBot="1" x14ac:dyDescent="0.35">
      <c r="A1" s="1" t="s">
        <v>0</v>
      </c>
      <c r="B1" s="1"/>
    </row>
    <row r="2" spans="1:2" ht="18.600000000000001" thickBot="1" x14ac:dyDescent="0.35">
      <c r="A2" s="2" t="s">
        <v>1</v>
      </c>
      <c r="B2" s="2" t="s">
        <v>2</v>
      </c>
    </row>
    <row r="3" spans="1:2" ht="36.6" thickBot="1" x14ac:dyDescent="0.35">
      <c r="A3" s="2" t="s">
        <v>3</v>
      </c>
      <c r="B3" s="3"/>
    </row>
    <row r="4" spans="1:2" ht="18.600000000000001" thickBot="1" x14ac:dyDescent="0.35">
      <c r="A4" s="4" t="s">
        <v>4</v>
      </c>
      <c r="B4" s="5">
        <v>20697507000</v>
      </c>
    </row>
    <row r="5" spans="1:2" ht="18.600000000000001" thickBot="1" x14ac:dyDescent="0.35">
      <c r="A5" s="4" t="s">
        <v>5</v>
      </c>
      <c r="B5" s="5">
        <v>2379403000</v>
      </c>
    </row>
    <row r="6" spans="1:2" ht="18.600000000000001" thickBot="1" x14ac:dyDescent="0.35">
      <c r="A6" s="4" t="s">
        <v>6</v>
      </c>
      <c r="B6" s="5">
        <v>63796777000</v>
      </c>
    </row>
    <row r="7" spans="1:2" ht="18.600000000000001" thickBot="1" x14ac:dyDescent="0.35">
      <c r="A7" s="4" t="s">
        <v>7</v>
      </c>
      <c r="B7" s="5">
        <v>14401101000</v>
      </c>
    </row>
    <row r="8" spans="1:2" ht="18.600000000000001" thickBot="1" x14ac:dyDescent="0.35">
      <c r="A8" s="3"/>
      <c r="B8" s="3"/>
    </row>
    <row r="9" spans="1:2" ht="18.600000000000001" thickBot="1" x14ac:dyDescent="0.35">
      <c r="A9" s="2" t="s">
        <v>8</v>
      </c>
      <c r="B9" s="3"/>
    </row>
    <row r="10" spans="1:2" ht="18.600000000000001" thickBot="1" x14ac:dyDescent="0.35">
      <c r="A10" s="4" t="s">
        <v>9</v>
      </c>
      <c r="B10" s="5">
        <v>2379403000</v>
      </c>
    </row>
    <row r="11" spans="1:2" ht="18.600000000000001" thickBot="1" x14ac:dyDescent="0.35">
      <c r="A11" s="3"/>
      <c r="B11" s="3" t="s">
        <v>14</v>
      </c>
    </row>
    <row r="12" spans="1:2" ht="36.6" thickBot="1" x14ac:dyDescent="0.35">
      <c r="A12" s="2" t="s">
        <v>10</v>
      </c>
      <c r="B12" s="3"/>
    </row>
    <row r="13" spans="1:2" ht="18.600000000000001" thickBot="1" x14ac:dyDescent="0.35">
      <c r="A13" s="2" t="s">
        <v>11</v>
      </c>
      <c r="B13" s="6">
        <f>B10*0.05</f>
        <v>118970150</v>
      </c>
    </row>
    <row r="14" spans="1:2" ht="36.6" thickBot="1" x14ac:dyDescent="0.35">
      <c r="A14" s="2" t="s">
        <v>12</v>
      </c>
      <c r="B14" s="6">
        <f>B13*0.7</f>
        <v>83279105</v>
      </c>
    </row>
    <row r="15" spans="1:2" ht="18.600000000000001" thickBot="1" x14ac:dyDescent="0.35">
      <c r="A15" s="2" t="s">
        <v>13</v>
      </c>
      <c r="B15" s="6">
        <f>B13*0.05</f>
        <v>5948507.5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Cardoso</dc:creator>
  <cp:lastModifiedBy>Giulia Cardoso</cp:lastModifiedBy>
  <dcterms:created xsi:type="dcterms:W3CDTF">2026-10-22T00:06:32Z</dcterms:created>
  <dcterms:modified xsi:type="dcterms:W3CDTF">2026-10-23T18:20:09Z</dcterms:modified>
</cp:coreProperties>
</file>